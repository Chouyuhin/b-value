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50" windowHeight="7000"/>
  </bookViews>
  <sheets>
    <sheet name="TableS1" sheetId="1" r:id="rId1"/>
    <sheet name="TableS2" sheetId="2" r:id="rId2"/>
    <sheet name="TableS3" sheetId="3" r:id="rId3"/>
    <sheet name="TableS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<sst xmlns="http://schemas.openxmlformats.org/spreadsheetml/2006/main" count="720" uniqueCount="262">
  <si>
    <r>
      <rPr>
        <sz val="10"/>
        <color theme="1"/>
        <rFont val="Palatino Linotype"/>
        <charset val="134"/>
      </rPr>
      <t>Table S1. Field and analytical data of major elements and stable isotopes (δD,δ</t>
    </r>
    <r>
      <rPr>
        <vertAlign val="superscript"/>
        <sz val="10"/>
        <color theme="1"/>
        <rFont val="Palatino Linotype"/>
        <charset val="134"/>
      </rPr>
      <t>18</t>
    </r>
    <r>
      <rPr>
        <sz val="10"/>
        <color theme="1"/>
        <rFont val="Palatino Linotype"/>
        <charset val="134"/>
      </rPr>
      <t>O) on water samples.</t>
    </r>
  </si>
  <si>
    <t>No.</t>
  </si>
  <si>
    <t>Site</t>
  </si>
  <si>
    <t>Longitude(°)</t>
  </si>
  <si>
    <t>Latitude(°)</t>
  </si>
  <si>
    <t>Temperature*</t>
  </si>
  <si>
    <t>PH*</t>
  </si>
  <si>
    <r>
      <rPr>
        <sz val="10"/>
        <color theme="1"/>
        <rFont val="Palatino Linotype"/>
        <charset val="134"/>
      </rPr>
      <t>Na</t>
    </r>
    <r>
      <rPr>
        <vertAlign val="superscript"/>
        <sz val="10"/>
        <color theme="1"/>
        <rFont val="Palatino Linotype"/>
        <charset val="134"/>
      </rPr>
      <t>+</t>
    </r>
    <r>
      <rPr>
        <sz val="10"/>
        <color theme="1"/>
        <rFont val="Palatino Linotype"/>
        <charset val="134"/>
      </rPr>
      <t>*</t>
    </r>
  </si>
  <si>
    <r>
      <rPr>
        <sz val="10"/>
        <color theme="1"/>
        <rFont val="Palatino Linotype"/>
        <charset val="134"/>
      </rPr>
      <t>K</t>
    </r>
    <r>
      <rPr>
        <vertAlign val="superscript"/>
        <sz val="10"/>
        <color theme="1"/>
        <rFont val="Palatino Linotype"/>
        <charset val="134"/>
      </rPr>
      <t>+</t>
    </r>
    <r>
      <rPr>
        <sz val="10"/>
        <color theme="1"/>
        <rFont val="Palatino Linotype"/>
        <charset val="134"/>
      </rPr>
      <t>*</t>
    </r>
  </si>
  <si>
    <r>
      <rPr>
        <sz val="10"/>
        <color theme="1"/>
        <rFont val="Palatino Linotype"/>
        <charset val="134"/>
      </rPr>
      <t>Mg</t>
    </r>
    <r>
      <rPr>
        <vertAlign val="superscript"/>
        <sz val="10"/>
        <color theme="1"/>
        <rFont val="Palatino Linotype"/>
        <charset val="134"/>
      </rPr>
      <t>2+</t>
    </r>
    <r>
      <rPr>
        <sz val="10"/>
        <color theme="1"/>
        <rFont val="Palatino Linotype"/>
        <charset val="134"/>
      </rPr>
      <t>*</t>
    </r>
  </si>
  <si>
    <r>
      <rPr>
        <sz val="10"/>
        <color theme="1"/>
        <rFont val="Palatino Linotype"/>
        <charset val="134"/>
      </rPr>
      <t>Ca</t>
    </r>
    <r>
      <rPr>
        <vertAlign val="superscript"/>
        <sz val="10"/>
        <color theme="1"/>
        <rFont val="Palatino Linotype"/>
        <charset val="134"/>
      </rPr>
      <t>2+</t>
    </r>
    <r>
      <rPr>
        <sz val="10"/>
        <color theme="1"/>
        <rFont val="Palatino Linotype"/>
        <charset val="134"/>
      </rPr>
      <t>*</t>
    </r>
  </si>
  <si>
    <r>
      <rPr>
        <sz val="10"/>
        <color theme="1"/>
        <rFont val="Palatino Linotype"/>
        <charset val="134"/>
      </rPr>
      <t>Cl</t>
    </r>
    <r>
      <rPr>
        <vertAlign val="superscript"/>
        <sz val="10"/>
        <color theme="1"/>
        <rFont val="Palatino Linotype"/>
        <charset val="134"/>
      </rPr>
      <t>-</t>
    </r>
    <r>
      <rPr>
        <sz val="10"/>
        <color theme="1"/>
        <rFont val="Palatino Linotype"/>
        <charset val="134"/>
      </rPr>
      <t>*</t>
    </r>
  </si>
  <si>
    <r>
      <rPr>
        <sz val="10"/>
        <color theme="1"/>
        <rFont val="Palatino Linotype"/>
        <charset val="134"/>
      </rPr>
      <t>SO</t>
    </r>
    <r>
      <rPr>
        <vertAlign val="subscript"/>
        <sz val="10"/>
        <color theme="1"/>
        <rFont val="Palatino Linotype"/>
        <charset val="134"/>
      </rPr>
      <t>4</t>
    </r>
    <r>
      <rPr>
        <vertAlign val="superscript"/>
        <sz val="10"/>
        <color theme="1"/>
        <rFont val="Palatino Linotype"/>
        <charset val="134"/>
      </rPr>
      <t>2-</t>
    </r>
    <r>
      <rPr>
        <sz val="10"/>
        <color theme="1"/>
        <rFont val="Palatino Linotype"/>
        <charset val="134"/>
      </rPr>
      <t>*</t>
    </r>
  </si>
  <si>
    <r>
      <rPr>
        <sz val="10"/>
        <color theme="1"/>
        <rFont val="Palatino Linotype"/>
        <charset val="134"/>
      </rPr>
      <t>CO</t>
    </r>
    <r>
      <rPr>
        <vertAlign val="subscript"/>
        <sz val="10"/>
        <color theme="1"/>
        <rFont val="Palatino Linotype"/>
        <charset val="134"/>
      </rPr>
      <t>3</t>
    </r>
    <r>
      <rPr>
        <vertAlign val="superscript"/>
        <sz val="10"/>
        <color theme="1"/>
        <rFont val="Palatino Linotype"/>
        <charset val="134"/>
      </rPr>
      <t>2-</t>
    </r>
    <r>
      <rPr>
        <sz val="10"/>
        <color theme="1"/>
        <rFont val="Palatino Linotype"/>
        <charset val="134"/>
      </rPr>
      <t>*</t>
    </r>
  </si>
  <si>
    <r>
      <rPr>
        <sz val="10"/>
        <color theme="1"/>
        <rFont val="Palatino Linotype"/>
        <charset val="134"/>
      </rPr>
      <t>HCO</t>
    </r>
    <r>
      <rPr>
        <vertAlign val="subscript"/>
        <sz val="10"/>
        <color theme="1"/>
        <rFont val="Palatino Linotype"/>
        <charset val="134"/>
      </rPr>
      <t>3</t>
    </r>
    <r>
      <rPr>
        <vertAlign val="superscript"/>
        <sz val="10"/>
        <color theme="1"/>
        <rFont val="Palatino Linotype"/>
        <charset val="134"/>
      </rPr>
      <t>-</t>
    </r>
    <r>
      <rPr>
        <sz val="10"/>
        <color theme="1"/>
        <rFont val="Palatino Linotype"/>
        <charset val="134"/>
      </rPr>
      <t>*</t>
    </r>
  </si>
  <si>
    <r>
      <rPr>
        <sz val="10"/>
        <color theme="1"/>
        <rFont val="Palatino Linotype"/>
        <charset val="134"/>
      </rPr>
      <t>NO</t>
    </r>
    <r>
      <rPr>
        <vertAlign val="subscript"/>
        <sz val="10"/>
        <color theme="1"/>
        <rFont val="Palatino Linotype"/>
        <charset val="134"/>
      </rPr>
      <t>3</t>
    </r>
    <r>
      <rPr>
        <vertAlign val="superscript"/>
        <sz val="10"/>
        <color theme="1"/>
        <rFont val="Palatino Linotype"/>
        <charset val="134"/>
      </rPr>
      <t>-</t>
    </r>
  </si>
  <si>
    <t>TDS</t>
  </si>
  <si>
    <r>
      <rPr>
        <sz val="10"/>
        <color theme="1"/>
        <rFont val="Palatino Linotype"/>
        <charset val="134"/>
      </rPr>
      <t>SiO</t>
    </r>
    <r>
      <rPr>
        <vertAlign val="subscript"/>
        <sz val="10"/>
        <color theme="1"/>
        <rFont val="Palatino Linotype"/>
        <charset val="134"/>
      </rPr>
      <t>2</t>
    </r>
    <r>
      <rPr>
        <vertAlign val="superscript"/>
        <sz val="10"/>
        <color theme="1"/>
        <rFont val="Palatino Linotype"/>
        <charset val="134"/>
      </rPr>
      <t>*</t>
    </r>
  </si>
  <si>
    <t xml:space="preserve">  Water types*</t>
  </si>
  <si>
    <r>
      <rPr>
        <sz val="10"/>
        <color theme="1"/>
        <rFont val="Palatino Linotype"/>
        <charset val="134"/>
      </rPr>
      <t>δ</t>
    </r>
    <r>
      <rPr>
        <vertAlign val="superscript"/>
        <sz val="10"/>
        <color theme="1"/>
        <rFont val="Palatino Linotype"/>
        <charset val="134"/>
      </rPr>
      <t>18</t>
    </r>
    <r>
      <rPr>
        <sz val="10"/>
        <color theme="1"/>
        <rFont val="Palatino Linotype"/>
        <charset val="134"/>
      </rPr>
      <t>O</t>
    </r>
  </si>
  <si>
    <t>δD</t>
  </si>
  <si>
    <t>ib(%)</t>
  </si>
  <si>
    <r>
      <rPr>
        <sz val="10"/>
        <color theme="1"/>
        <rFont val="Palatino Linotype"/>
        <charset val="134"/>
      </rPr>
      <t>(</t>
    </r>
    <r>
      <rPr>
        <sz val="10"/>
        <color theme="1"/>
        <rFont val="等线"/>
        <charset val="134"/>
      </rPr>
      <t>℃</t>
    </r>
    <r>
      <rPr>
        <sz val="10"/>
        <color theme="1"/>
        <rFont val="Palatino Linotype"/>
        <charset val="134"/>
      </rPr>
      <t>)</t>
    </r>
  </si>
  <si>
    <t>mg/L</t>
  </si>
  <si>
    <r>
      <rPr>
        <sz val="10"/>
        <color theme="1"/>
        <rFont val="等线"/>
        <charset val="134"/>
      </rPr>
      <t>（</t>
    </r>
    <r>
      <rPr>
        <sz val="10"/>
        <color theme="1"/>
        <rFont val="Palatino Linotype"/>
        <charset val="134"/>
      </rPr>
      <t>‰</t>
    </r>
    <r>
      <rPr>
        <sz val="10"/>
        <color theme="1"/>
        <rFont val="等线"/>
        <charset val="134"/>
      </rPr>
      <t>）</t>
    </r>
  </si>
  <si>
    <t>W1</t>
  </si>
  <si>
    <t>Niku</t>
  </si>
  <si>
    <r>
      <rPr>
        <sz val="10"/>
        <color theme="1"/>
        <rFont val="Palatino Linotype"/>
        <charset val="134"/>
      </rPr>
      <t>HCO</t>
    </r>
    <r>
      <rPr>
        <vertAlign val="subscript"/>
        <sz val="10"/>
        <color theme="1"/>
        <rFont val="Palatino Linotype"/>
        <charset val="134"/>
      </rPr>
      <t>3</t>
    </r>
    <r>
      <rPr>
        <sz val="10"/>
        <color theme="1"/>
        <rFont val="Palatino Linotype"/>
        <charset val="134"/>
      </rPr>
      <t>-Ca-Na</t>
    </r>
  </si>
  <si>
    <t>W2</t>
  </si>
  <si>
    <t>Kalie</t>
  </si>
  <si>
    <r>
      <rPr>
        <sz val="10"/>
        <color theme="1"/>
        <rFont val="Palatino Linotype"/>
        <charset val="134"/>
      </rPr>
      <t xml:space="preserve"> HCO</t>
    </r>
    <r>
      <rPr>
        <vertAlign val="subscript"/>
        <sz val="10"/>
        <color theme="1"/>
        <rFont val="Palatino Linotype"/>
        <charset val="134"/>
      </rPr>
      <t>3</t>
    </r>
    <r>
      <rPr>
        <sz val="10"/>
        <color theme="1"/>
        <rFont val="Palatino Linotype"/>
        <charset val="134"/>
      </rPr>
      <t>-Ca-Mg</t>
    </r>
  </si>
  <si>
    <t>—</t>
  </si>
  <si>
    <t>W3</t>
  </si>
  <si>
    <t>Goudi</t>
  </si>
  <si>
    <r>
      <rPr>
        <sz val="10"/>
        <color theme="1"/>
        <rFont val="Palatino Linotype"/>
        <charset val="134"/>
      </rPr>
      <t>HCO</t>
    </r>
    <r>
      <rPr>
        <vertAlign val="subscript"/>
        <sz val="10"/>
        <color theme="1"/>
        <rFont val="Palatino Linotype"/>
        <charset val="134"/>
      </rPr>
      <t>3</t>
    </r>
    <r>
      <rPr>
        <sz val="10"/>
        <color theme="1"/>
        <rFont val="Palatino Linotype"/>
        <charset val="134"/>
      </rPr>
      <t>-Ca</t>
    </r>
  </si>
  <si>
    <t>W4</t>
  </si>
  <si>
    <t>Shawan</t>
  </si>
  <si>
    <r>
      <rPr>
        <sz val="10"/>
        <color theme="1"/>
        <rFont val="Palatino Linotype"/>
        <charset val="134"/>
      </rPr>
      <t>HCO</t>
    </r>
    <r>
      <rPr>
        <vertAlign val="subscript"/>
        <sz val="10"/>
        <color theme="1"/>
        <rFont val="Palatino Linotype"/>
        <charset val="134"/>
      </rPr>
      <t>3</t>
    </r>
    <r>
      <rPr>
        <sz val="10"/>
        <color theme="1"/>
        <rFont val="Palatino Linotype"/>
        <charset val="134"/>
      </rPr>
      <t>-Na</t>
    </r>
  </si>
  <si>
    <t>W5</t>
  </si>
  <si>
    <t>Ridu</t>
  </si>
  <si>
    <t>W6</t>
  </si>
  <si>
    <t>Luhuoguyicun</t>
  </si>
  <si>
    <t>W7</t>
  </si>
  <si>
    <t>Nilachatuo</t>
  </si>
  <si>
    <t>W8</t>
  </si>
  <si>
    <t>Jinka</t>
  </si>
  <si>
    <r>
      <rPr>
        <sz val="10"/>
        <color theme="1"/>
        <rFont val="Palatino Linotype"/>
        <charset val="134"/>
      </rPr>
      <t>HCO</t>
    </r>
    <r>
      <rPr>
        <vertAlign val="subscript"/>
        <sz val="10"/>
        <color theme="1"/>
        <rFont val="Palatino Linotype"/>
        <charset val="134"/>
      </rPr>
      <t>3</t>
    </r>
    <r>
      <rPr>
        <sz val="10"/>
        <color theme="1"/>
        <rFont val="Palatino Linotype"/>
        <charset val="134"/>
      </rPr>
      <t>-Na-Ca</t>
    </r>
  </si>
  <si>
    <t>W9</t>
  </si>
  <si>
    <t>Benglong</t>
  </si>
  <si>
    <r>
      <rPr>
        <sz val="10"/>
        <color theme="1"/>
        <rFont val="Palatino Linotype"/>
        <charset val="134"/>
      </rPr>
      <t>HCO</t>
    </r>
    <r>
      <rPr>
        <vertAlign val="subscript"/>
        <sz val="10"/>
        <color theme="1"/>
        <rFont val="Palatino Linotype"/>
        <charset val="134"/>
      </rPr>
      <t>3</t>
    </r>
    <r>
      <rPr>
        <sz val="10"/>
        <color theme="1"/>
        <rFont val="Palatino Linotype"/>
        <charset val="134"/>
      </rPr>
      <t>-Mg-Ca</t>
    </r>
  </si>
  <si>
    <t>W10</t>
  </si>
  <si>
    <t>Niri</t>
  </si>
  <si>
    <r>
      <rPr>
        <sz val="10"/>
        <color theme="1"/>
        <rFont val="Palatino Linotype"/>
        <charset val="134"/>
      </rPr>
      <t>HCO</t>
    </r>
    <r>
      <rPr>
        <vertAlign val="subscript"/>
        <sz val="10"/>
        <color theme="1"/>
        <rFont val="Palatino Linotype"/>
        <charset val="134"/>
      </rPr>
      <t>3</t>
    </r>
    <r>
      <rPr>
        <sz val="10"/>
        <color theme="1"/>
        <rFont val="Palatino Linotype"/>
        <charset val="134"/>
      </rPr>
      <t>-SO</t>
    </r>
    <r>
      <rPr>
        <vertAlign val="subscript"/>
        <sz val="10"/>
        <color theme="1"/>
        <rFont val="Palatino Linotype"/>
        <charset val="134"/>
      </rPr>
      <t>4</t>
    </r>
    <r>
      <rPr>
        <sz val="10"/>
        <color theme="1"/>
        <rFont val="Palatino Linotype"/>
        <charset val="134"/>
      </rPr>
      <t>-Mg</t>
    </r>
  </si>
  <si>
    <t>W11</t>
  </si>
  <si>
    <t>Wamuka</t>
  </si>
  <si>
    <t>W12</t>
  </si>
  <si>
    <t>Xingjianggou</t>
  </si>
  <si>
    <t>W13</t>
  </si>
  <si>
    <t>Qimei1</t>
  </si>
  <si>
    <t>W14</t>
  </si>
  <si>
    <t>Jiazong</t>
  </si>
  <si>
    <t>W15</t>
  </si>
  <si>
    <t>Qimei2</t>
  </si>
  <si>
    <t>W16</t>
  </si>
  <si>
    <t>Luhuoguyicun2</t>
  </si>
  <si>
    <t>W17</t>
  </si>
  <si>
    <t>Canglonggou</t>
  </si>
  <si>
    <t>W18</t>
  </si>
  <si>
    <t>Danba</t>
  </si>
  <si>
    <t>W19</t>
  </si>
  <si>
    <t>Kama</t>
  </si>
  <si>
    <t>W20</t>
  </si>
  <si>
    <t>Bameihaoniugou1</t>
  </si>
  <si>
    <t>W21</t>
  </si>
  <si>
    <t>Bameihaoniugou2</t>
  </si>
  <si>
    <t>W22</t>
  </si>
  <si>
    <t>Yalashenshan</t>
  </si>
  <si>
    <t>W23</t>
  </si>
  <si>
    <t>Zheduotang</t>
  </si>
  <si>
    <t>W24</t>
  </si>
  <si>
    <t>Zhonggu</t>
  </si>
  <si>
    <t>W25</t>
  </si>
  <si>
    <t>Mugecuo</t>
  </si>
  <si>
    <t>W26</t>
  </si>
  <si>
    <t>Wachangshang</t>
  </si>
  <si>
    <t>W27</t>
  </si>
  <si>
    <t>Yala</t>
  </si>
  <si>
    <t>W28</t>
  </si>
  <si>
    <t>Erdaoqiao</t>
  </si>
  <si>
    <t>W29</t>
  </si>
  <si>
    <t>Longtougou</t>
  </si>
  <si>
    <r>
      <rPr>
        <sz val="10"/>
        <color theme="1"/>
        <rFont val="Palatino Linotype"/>
        <charset val="134"/>
      </rPr>
      <t>HCO</t>
    </r>
    <r>
      <rPr>
        <vertAlign val="subscript"/>
        <sz val="10"/>
        <color theme="1"/>
        <rFont val="Palatino Linotype"/>
        <charset val="134"/>
      </rPr>
      <t>3</t>
    </r>
    <r>
      <rPr>
        <sz val="10"/>
        <color theme="1"/>
        <rFont val="Palatino Linotype"/>
        <charset val="134"/>
      </rPr>
      <t>-Cl-Na</t>
    </r>
  </si>
  <si>
    <t>W30</t>
  </si>
  <si>
    <t>Kuaishuang</t>
  </si>
  <si>
    <t>W31</t>
  </si>
  <si>
    <t>Guanding</t>
  </si>
  <si>
    <t>W32</t>
  </si>
  <si>
    <t>Gongjiagou</t>
  </si>
  <si>
    <t>W33</t>
  </si>
  <si>
    <t>Erhaoyingdi</t>
  </si>
  <si>
    <t>W34</t>
  </si>
  <si>
    <t>Xinxinxiang</t>
  </si>
  <si>
    <t>W35</t>
  </si>
  <si>
    <t>Caoke</t>
  </si>
  <si>
    <t>W36</t>
  </si>
  <si>
    <t>Gonghe</t>
  </si>
  <si>
    <t>W37</t>
  </si>
  <si>
    <t>Luding</t>
  </si>
  <si>
    <t>W38</t>
  </si>
  <si>
    <t>Wandong</t>
  </si>
  <si>
    <t>W39</t>
  </si>
  <si>
    <t>Tianwanhekou</t>
  </si>
  <si>
    <r>
      <rPr>
        <sz val="10"/>
        <color theme="1"/>
        <rFont val="Palatino Linotype"/>
        <charset val="134"/>
      </rPr>
      <t xml:space="preserve"> HCO</t>
    </r>
    <r>
      <rPr>
        <vertAlign val="subscript"/>
        <sz val="10"/>
        <color theme="1"/>
        <rFont val="Palatino Linotype"/>
        <charset val="134"/>
      </rPr>
      <t>3</t>
    </r>
    <r>
      <rPr>
        <sz val="10"/>
        <color theme="1"/>
        <rFont val="Palatino Linotype"/>
        <charset val="134"/>
      </rPr>
      <t>-Na·Mg</t>
    </r>
  </si>
  <si>
    <t>W40</t>
  </si>
  <si>
    <t>Shimiandizhengtai</t>
  </si>
  <si>
    <t>W41</t>
  </si>
  <si>
    <t>Gongyihai</t>
  </si>
  <si>
    <r>
      <rPr>
        <sz val="10"/>
        <color theme="1"/>
        <rFont val="Palatino Linotype"/>
        <charset val="134"/>
      </rPr>
      <t>HCO</t>
    </r>
    <r>
      <rPr>
        <vertAlign val="subscript"/>
        <sz val="10"/>
        <color theme="1"/>
        <rFont val="Palatino Linotype"/>
        <charset val="134"/>
      </rPr>
      <t>3</t>
    </r>
    <r>
      <rPr>
        <sz val="10"/>
        <color theme="1"/>
        <rFont val="Palatino Linotype"/>
        <charset val="134"/>
      </rPr>
      <t>-Cl–Na</t>
    </r>
  </si>
  <si>
    <t>W42</t>
  </si>
  <si>
    <t>Zimakua</t>
  </si>
  <si>
    <r>
      <rPr>
        <sz val="10"/>
        <color theme="1"/>
        <rFont val="Palatino Linotype"/>
        <charset val="134"/>
      </rPr>
      <t>HCO</t>
    </r>
    <r>
      <rPr>
        <vertAlign val="subscript"/>
        <sz val="10"/>
        <color theme="1"/>
        <rFont val="Palatino Linotype"/>
        <charset val="134"/>
      </rPr>
      <t>3</t>
    </r>
    <r>
      <rPr>
        <sz val="10"/>
        <color theme="1"/>
        <rFont val="Palatino Linotype"/>
        <charset val="134"/>
      </rPr>
      <t>-Cl–Na·Ca·Mg</t>
    </r>
  </si>
  <si>
    <t>W43</t>
  </si>
  <si>
    <t>Xide1</t>
  </si>
  <si>
    <r>
      <rPr>
        <sz val="10"/>
        <color theme="1"/>
        <rFont val="Palatino Linotype"/>
        <charset val="134"/>
      </rPr>
      <t>HCO</t>
    </r>
    <r>
      <rPr>
        <vertAlign val="subscript"/>
        <sz val="10"/>
        <color theme="1"/>
        <rFont val="Palatino Linotype"/>
        <charset val="134"/>
      </rPr>
      <t>3</t>
    </r>
    <r>
      <rPr>
        <sz val="10"/>
        <color theme="1"/>
        <rFont val="Palatino Linotype"/>
        <charset val="134"/>
      </rPr>
      <t>·SO</t>
    </r>
    <r>
      <rPr>
        <vertAlign val="subscript"/>
        <sz val="10"/>
        <color theme="1"/>
        <rFont val="Palatino Linotype"/>
        <charset val="134"/>
      </rPr>
      <t>4</t>
    </r>
    <r>
      <rPr>
        <sz val="10"/>
        <color theme="1"/>
        <rFont val="Palatino Linotype"/>
        <charset val="134"/>
      </rPr>
      <t>-Ca·Mg</t>
    </r>
  </si>
  <si>
    <t>W44</t>
  </si>
  <si>
    <t>Xide2</t>
  </si>
  <si>
    <t>W45</t>
  </si>
  <si>
    <t>Hongmo</t>
  </si>
  <si>
    <r>
      <rPr>
        <sz val="10"/>
        <color theme="1"/>
        <rFont val="Palatino Linotype"/>
        <charset val="134"/>
      </rPr>
      <t>HCO</t>
    </r>
    <r>
      <rPr>
        <vertAlign val="subscript"/>
        <sz val="10"/>
        <color theme="1"/>
        <rFont val="Palatino Linotype"/>
        <charset val="134"/>
      </rPr>
      <t>3</t>
    </r>
    <r>
      <rPr>
        <sz val="10"/>
        <color theme="1"/>
        <rFont val="Palatino Linotype"/>
        <charset val="134"/>
      </rPr>
      <t>·SO</t>
    </r>
    <r>
      <rPr>
        <vertAlign val="subscript"/>
        <sz val="10"/>
        <color theme="1"/>
        <rFont val="Palatino Linotype"/>
        <charset val="134"/>
      </rPr>
      <t>4</t>
    </r>
    <r>
      <rPr>
        <sz val="10"/>
        <color theme="1"/>
        <rFont val="Palatino Linotype"/>
        <charset val="134"/>
      </rPr>
      <t>-Na·Ca</t>
    </r>
  </si>
  <si>
    <t>W46</t>
  </si>
  <si>
    <t>Xichangdongquan</t>
  </si>
  <si>
    <r>
      <rPr>
        <sz val="10"/>
        <color theme="1"/>
        <rFont val="Palatino Linotype"/>
        <charset val="134"/>
      </rPr>
      <t>SO</t>
    </r>
    <r>
      <rPr>
        <vertAlign val="subscript"/>
        <sz val="10"/>
        <color theme="1"/>
        <rFont val="Palatino Linotype"/>
        <charset val="134"/>
      </rPr>
      <t>4</t>
    </r>
    <r>
      <rPr>
        <sz val="10"/>
        <color theme="1"/>
        <rFont val="Palatino Linotype"/>
        <charset val="134"/>
      </rPr>
      <t>-Na</t>
    </r>
  </si>
  <si>
    <t>W47</t>
  </si>
  <si>
    <t>Chuanxing</t>
  </si>
  <si>
    <t>W48</t>
  </si>
  <si>
    <t>Hexi</t>
  </si>
  <si>
    <t>W49</t>
  </si>
  <si>
    <t>Dacaohe</t>
  </si>
  <si>
    <r>
      <rPr>
        <sz val="10"/>
        <color theme="1"/>
        <rFont val="Palatino Linotype"/>
        <charset val="134"/>
      </rPr>
      <t>HCO</t>
    </r>
    <r>
      <rPr>
        <vertAlign val="subscript"/>
        <sz val="10"/>
        <color theme="1"/>
        <rFont val="Palatino Linotype"/>
        <charset val="134"/>
      </rPr>
      <t>3</t>
    </r>
    <r>
      <rPr>
        <sz val="10"/>
        <color theme="1"/>
        <rFont val="Palatino Linotype"/>
        <charset val="134"/>
      </rPr>
      <t>-Ca·Mg</t>
    </r>
  </si>
  <si>
    <t>W50</t>
  </si>
  <si>
    <t>Luojishan</t>
  </si>
  <si>
    <r>
      <rPr>
        <sz val="10"/>
        <color theme="1"/>
        <rFont val="Palatino Linotype"/>
        <charset val="134"/>
      </rPr>
      <t>HCO</t>
    </r>
    <r>
      <rPr>
        <vertAlign val="subscript"/>
        <sz val="10"/>
        <color theme="1"/>
        <rFont val="Palatino Linotype"/>
        <charset val="134"/>
      </rPr>
      <t>3</t>
    </r>
    <r>
      <rPr>
        <sz val="10"/>
        <color theme="1"/>
        <rFont val="Palatino Linotype"/>
        <charset val="134"/>
      </rPr>
      <t>·SO</t>
    </r>
    <r>
      <rPr>
        <vertAlign val="subscript"/>
        <sz val="10"/>
        <color theme="1"/>
        <rFont val="Palatino Linotype"/>
        <charset val="134"/>
      </rPr>
      <t>4</t>
    </r>
    <r>
      <rPr>
        <sz val="10"/>
        <color theme="1"/>
        <rFont val="Palatino Linotype"/>
        <charset val="134"/>
      </rPr>
      <t>-Ca</t>
    </r>
  </si>
  <si>
    <t>W51</t>
  </si>
  <si>
    <t>Liutie</t>
  </si>
  <si>
    <r>
      <rPr>
        <sz val="10"/>
        <color theme="1"/>
        <rFont val="Palatino Linotype"/>
        <charset val="134"/>
      </rPr>
      <t>SO</t>
    </r>
    <r>
      <rPr>
        <vertAlign val="subscript"/>
        <sz val="10"/>
        <color theme="1"/>
        <rFont val="Palatino Linotype"/>
        <charset val="134"/>
      </rPr>
      <t>4</t>
    </r>
    <r>
      <rPr>
        <sz val="10"/>
        <color theme="1"/>
        <rFont val="Palatino Linotype"/>
        <charset val="134"/>
      </rPr>
      <t>-Ca</t>
    </r>
  </si>
  <si>
    <t>W52</t>
  </si>
  <si>
    <t>Longtdonghe</t>
  </si>
  <si>
    <t>W53</t>
  </si>
  <si>
    <t>Kuaniwan</t>
  </si>
  <si>
    <r>
      <rPr>
        <sz val="10"/>
        <color theme="1"/>
        <rFont val="Palatino Linotype"/>
        <charset val="134"/>
      </rPr>
      <t>HCO</t>
    </r>
    <r>
      <rPr>
        <vertAlign val="subscript"/>
        <sz val="10"/>
        <color theme="1"/>
        <rFont val="Palatino Linotype"/>
        <charset val="134"/>
      </rPr>
      <t>3</t>
    </r>
    <r>
      <rPr>
        <sz val="10"/>
        <color theme="1"/>
        <rFont val="Palatino Linotype"/>
        <charset val="134"/>
      </rPr>
      <t>·SO</t>
    </r>
    <r>
      <rPr>
        <vertAlign val="subscript"/>
        <sz val="10"/>
        <color theme="1"/>
        <rFont val="Palatino Linotype"/>
        <charset val="134"/>
      </rPr>
      <t>4</t>
    </r>
    <r>
      <rPr>
        <sz val="10"/>
        <color theme="1"/>
        <rFont val="Palatino Linotype"/>
        <charset val="134"/>
      </rPr>
      <t>–Na·Ca·Mg</t>
    </r>
  </si>
  <si>
    <t>W54</t>
  </si>
  <si>
    <t>Daziran</t>
  </si>
  <si>
    <r>
      <rPr>
        <sz val="10"/>
        <color theme="1"/>
        <rFont val="Palatino Linotype"/>
        <charset val="134"/>
      </rPr>
      <t>SO</t>
    </r>
    <r>
      <rPr>
        <vertAlign val="subscript"/>
        <sz val="10"/>
        <color theme="1"/>
        <rFont val="Palatino Linotype"/>
        <charset val="134"/>
      </rPr>
      <t>4</t>
    </r>
    <r>
      <rPr>
        <sz val="10"/>
        <color theme="1"/>
        <rFont val="Palatino Linotype"/>
        <charset val="134"/>
      </rPr>
      <t>–Na·Ca</t>
    </r>
  </si>
  <si>
    <t>W55</t>
  </si>
  <si>
    <t>Lujixiang</t>
  </si>
  <si>
    <r>
      <rPr>
        <sz val="10"/>
        <color theme="1"/>
        <rFont val="Palatino Linotype"/>
        <charset val="134"/>
      </rPr>
      <t>HCO</t>
    </r>
    <r>
      <rPr>
        <vertAlign val="subscript"/>
        <sz val="10"/>
        <color theme="1"/>
        <rFont val="Palatino Linotype"/>
        <charset val="134"/>
      </rPr>
      <t>3</t>
    </r>
    <r>
      <rPr>
        <sz val="10"/>
        <color theme="1"/>
        <rFont val="Palatino Linotype"/>
        <charset val="134"/>
      </rPr>
      <t>(SO</t>
    </r>
    <r>
      <rPr>
        <vertAlign val="subscript"/>
        <sz val="10"/>
        <color theme="1"/>
        <rFont val="Palatino Linotype"/>
        <charset val="134"/>
      </rPr>
      <t>4</t>
    </r>
    <r>
      <rPr>
        <sz val="10"/>
        <color theme="1"/>
        <rFont val="Palatino Linotype"/>
        <charset val="134"/>
      </rPr>
      <t>)-Ca(Mg)</t>
    </r>
  </si>
  <si>
    <t>W56</t>
  </si>
  <si>
    <t>Shuangxianghe</t>
  </si>
  <si>
    <r>
      <rPr>
        <sz val="10"/>
        <color theme="1"/>
        <rFont val="Palatino Linotype"/>
        <charset val="134"/>
      </rPr>
      <t>SO</t>
    </r>
    <r>
      <rPr>
        <vertAlign val="subscript"/>
        <sz val="10"/>
        <color theme="1"/>
        <rFont val="Palatino Linotype"/>
        <charset val="134"/>
      </rPr>
      <t>4</t>
    </r>
    <r>
      <rPr>
        <sz val="10"/>
        <color theme="1"/>
        <rFont val="Palatino Linotype"/>
        <charset val="134"/>
      </rPr>
      <t>-Mg</t>
    </r>
  </si>
  <si>
    <t>W57</t>
  </si>
  <si>
    <t>Ganlanba</t>
  </si>
  <si>
    <r>
      <rPr>
        <sz val="10"/>
        <color theme="1"/>
        <rFont val="Palatino Linotype"/>
        <charset val="134"/>
      </rPr>
      <t>HCO</t>
    </r>
    <r>
      <rPr>
        <vertAlign val="subscript"/>
        <sz val="10"/>
        <color theme="1"/>
        <rFont val="Palatino Linotype"/>
        <charset val="134"/>
      </rPr>
      <t>3</t>
    </r>
    <r>
      <rPr>
        <sz val="10"/>
        <color theme="1"/>
        <rFont val="Palatino Linotype"/>
        <charset val="134"/>
      </rPr>
      <t>-SO</t>
    </r>
    <r>
      <rPr>
        <vertAlign val="subscript"/>
        <sz val="10"/>
        <color theme="1"/>
        <rFont val="Palatino Linotype"/>
        <charset val="134"/>
      </rPr>
      <t>4</t>
    </r>
    <r>
      <rPr>
        <sz val="10"/>
        <color theme="1"/>
        <rFont val="Palatino Linotype"/>
        <charset val="134"/>
      </rPr>
      <t>-Ca-Mg</t>
    </r>
  </si>
  <si>
    <t>W58</t>
  </si>
  <si>
    <t>Xinqiao</t>
  </si>
  <si>
    <r>
      <rPr>
        <sz val="10"/>
        <color theme="1"/>
        <rFont val="Palatino Linotype"/>
        <charset val="134"/>
      </rPr>
      <t>SO</t>
    </r>
    <r>
      <rPr>
        <vertAlign val="subscript"/>
        <sz val="10"/>
        <color theme="1"/>
        <rFont val="Palatino Linotype"/>
        <charset val="134"/>
      </rPr>
      <t>4</t>
    </r>
    <r>
      <rPr>
        <sz val="10"/>
        <color theme="1"/>
        <rFont val="Palatino Linotype"/>
        <charset val="134"/>
      </rPr>
      <t>-Mg-Ca</t>
    </r>
  </si>
  <si>
    <t>W59</t>
  </si>
  <si>
    <t>Buwei</t>
  </si>
  <si>
    <r>
      <rPr>
        <sz val="10"/>
        <color theme="1"/>
        <rFont val="Palatino Linotype"/>
        <charset val="134"/>
      </rPr>
      <t>SO</t>
    </r>
    <r>
      <rPr>
        <vertAlign val="subscript"/>
        <sz val="10"/>
        <color theme="1"/>
        <rFont val="Palatino Linotype"/>
        <charset val="134"/>
      </rPr>
      <t>4</t>
    </r>
    <r>
      <rPr>
        <sz val="10"/>
        <color theme="1"/>
        <rFont val="Palatino Linotype"/>
        <charset val="134"/>
      </rPr>
      <t>-Mg-Na</t>
    </r>
  </si>
  <si>
    <t>W60</t>
  </si>
  <si>
    <t>Shamu</t>
  </si>
  <si>
    <t>W61</t>
  </si>
  <si>
    <t>Shuijincun</t>
  </si>
  <si>
    <r>
      <rPr>
        <sz val="10"/>
        <color theme="1"/>
        <rFont val="Palatino Linotype"/>
        <charset val="134"/>
      </rPr>
      <t>SO</t>
    </r>
    <r>
      <rPr>
        <vertAlign val="subscript"/>
        <sz val="10"/>
        <color theme="1"/>
        <rFont val="Palatino Linotype"/>
        <charset val="134"/>
      </rPr>
      <t>4</t>
    </r>
    <r>
      <rPr>
        <sz val="10"/>
        <color theme="1"/>
        <rFont val="Palatino Linotype"/>
        <charset val="134"/>
      </rPr>
      <t>-HCO</t>
    </r>
    <r>
      <rPr>
        <vertAlign val="subscript"/>
        <sz val="10"/>
        <color theme="1"/>
        <rFont val="Palatino Linotype"/>
        <charset val="134"/>
      </rPr>
      <t>3</t>
    </r>
    <r>
      <rPr>
        <sz val="10"/>
        <color theme="1"/>
        <rFont val="Palatino Linotype"/>
        <charset val="134"/>
      </rPr>
      <t>-Ca-Mg</t>
    </r>
  </si>
  <si>
    <t>W62</t>
  </si>
  <si>
    <t>Dazaicangfang</t>
  </si>
  <si>
    <t>W63</t>
  </si>
  <si>
    <t>Dashitou</t>
  </si>
  <si>
    <t>W64</t>
  </si>
  <si>
    <t>Jingyuan</t>
  </si>
  <si>
    <t>W65</t>
  </si>
  <si>
    <t>Xundiantangzi</t>
  </si>
  <si>
    <r>
      <rPr>
        <sz val="10"/>
        <color theme="1"/>
        <rFont val="Palatino Linotype"/>
        <charset val="134"/>
      </rPr>
      <t>SO</t>
    </r>
    <r>
      <rPr>
        <vertAlign val="subscript"/>
        <sz val="10"/>
        <color theme="1"/>
        <rFont val="Palatino Linotype"/>
        <charset val="134"/>
      </rPr>
      <t>4</t>
    </r>
    <r>
      <rPr>
        <sz val="10"/>
        <color theme="1"/>
        <rFont val="Palatino Linotype"/>
        <charset val="134"/>
      </rPr>
      <t>-HCO</t>
    </r>
    <r>
      <rPr>
        <vertAlign val="subscript"/>
        <sz val="10"/>
        <color theme="1"/>
        <rFont val="Palatino Linotype"/>
        <charset val="134"/>
      </rPr>
      <t>3</t>
    </r>
    <r>
      <rPr>
        <sz val="10"/>
        <color theme="1"/>
        <rFont val="Palatino Linotype"/>
        <charset val="134"/>
      </rPr>
      <t>-Ca-Na</t>
    </r>
  </si>
  <si>
    <t>W66</t>
  </si>
  <si>
    <t>Dayingcun</t>
  </si>
  <si>
    <t>W67</t>
  </si>
  <si>
    <t>Yiliang</t>
  </si>
  <si>
    <t>W68</t>
  </si>
  <si>
    <t>Longxi</t>
  </si>
  <si>
    <t>W69</t>
  </si>
  <si>
    <t>Xiangbi</t>
  </si>
  <si>
    <r>
      <rPr>
        <sz val="10"/>
        <color theme="1"/>
        <rFont val="Palatino Linotype"/>
        <charset val="134"/>
      </rPr>
      <t>HCO</t>
    </r>
    <r>
      <rPr>
        <vertAlign val="subscript"/>
        <sz val="10"/>
        <color theme="1"/>
        <rFont val="Palatino Linotype"/>
        <charset val="134"/>
      </rPr>
      <t>3</t>
    </r>
    <r>
      <rPr>
        <sz val="10"/>
        <color theme="1"/>
        <rFont val="Palatino Linotype"/>
        <charset val="134"/>
      </rPr>
      <t>-Ca-Mg</t>
    </r>
  </si>
  <si>
    <t>W70</t>
  </si>
  <si>
    <t>Panxi</t>
  </si>
  <si>
    <t>W71</t>
  </si>
  <si>
    <t>Xiaolongtan</t>
  </si>
  <si>
    <t>W72</t>
  </si>
  <si>
    <t>Hongtongdian</t>
  </si>
  <si>
    <r>
      <rPr>
        <sz val="10"/>
        <color theme="1"/>
        <rFont val="Palatino Linotype"/>
        <charset val="134"/>
      </rPr>
      <t>SO</t>
    </r>
    <r>
      <rPr>
        <vertAlign val="subscript"/>
        <sz val="10"/>
        <color theme="1"/>
        <rFont val="Palatino Linotype"/>
        <charset val="134"/>
      </rPr>
      <t>4</t>
    </r>
    <r>
      <rPr>
        <sz val="10"/>
        <color theme="1"/>
        <rFont val="Palatino Linotype"/>
        <charset val="134"/>
      </rPr>
      <t>-HCO</t>
    </r>
    <r>
      <rPr>
        <vertAlign val="subscript"/>
        <sz val="10"/>
        <color theme="1"/>
        <rFont val="Palatino Linotype"/>
        <charset val="134"/>
      </rPr>
      <t>3</t>
    </r>
    <r>
      <rPr>
        <sz val="10"/>
        <color theme="1"/>
        <rFont val="Palatino Linotype"/>
        <charset val="134"/>
      </rPr>
      <t>-Na-Ca</t>
    </r>
  </si>
  <si>
    <t>W73</t>
  </si>
  <si>
    <t>Yadancun</t>
  </si>
  <si>
    <t>W74</t>
  </si>
  <si>
    <t>Haikou</t>
  </si>
  <si>
    <r>
      <rPr>
        <sz val="10"/>
        <color theme="1"/>
        <rFont val="Palatino Linotype"/>
        <charset val="134"/>
      </rPr>
      <t>SO</t>
    </r>
    <r>
      <rPr>
        <vertAlign val="subscript"/>
        <sz val="10"/>
        <color theme="1"/>
        <rFont val="Palatino Linotype"/>
        <charset val="134"/>
      </rPr>
      <t>4</t>
    </r>
    <r>
      <rPr>
        <sz val="10"/>
        <color theme="1"/>
        <rFont val="Palatino Linotype"/>
        <charset val="134"/>
      </rPr>
      <t>-HCO</t>
    </r>
    <r>
      <rPr>
        <vertAlign val="subscript"/>
        <sz val="10"/>
        <color theme="1"/>
        <rFont val="Palatino Linotype"/>
        <charset val="134"/>
      </rPr>
      <t>3</t>
    </r>
    <r>
      <rPr>
        <sz val="10"/>
        <color theme="1"/>
        <rFont val="Palatino Linotype"/>
        <charset val="134"/>
      </rPr>
      <t>-Ca</t>
    </r>
  </si>
  <si>
    <r>
      <rPr>
        <sz val="10"/>
        <color theme="1"/>
        <rFont val="Palatino Linotype"/>
        <charset val="134"/>
      </rPr>
      <t>Note</t>
    </r>
    <r>
      <rPr>
        <sz val="10"/>
        <color theme="1"/>
        <rFont val="宋体"/>
        <charset val="134"/>
      </rPr>
      <t>：</t>
    </r>
    <r>
      <rPr>
        <sz val="10"/>
        <color theme="1"/>
        <rFont val="Palatino Linotype"/>
        <charset val="134"/>
      </rPr>
      <t>* date from Li et al., 2021</t>
    </r>
    <r>
      <rPr>
        <sz val="10"/>
        <color theme="1"/>
        <rFont val="等线"/>
        <charset val="134"/>
      </rPr>
      <t>；</t>
    </r>
    <r>
      <rPr>
        <sz val="10"/>
        <color theme="1"/>
        <rFont val="Palatino Linotype"/>
        <charset val="134"/>
      </rPr>
      <t>Yan et al., 2022</t>
    </r>
    <r>
      <rPr>
        <sz val="10"/>
        <color theme="1"/>
        <rFont val="等线"/>
        <charset val="134"/>
      </rPr>
      <t>；</t>
    </r>
    <r>
      <rPr>
        <sz val="10"/>
        <color theme="1"/>
        <rFont val="Palatino Linotype"/>
        <charset val="134"/>
      </rPr>
      <t>Tian et al., 2023</t>
    </r>
  </si>
  <si>
    <t xml:space="preserve">           ‘-’represent No data.</t>
  </si>
  <si>
    <t>W1-W40 from the XSHF, W41-W54 from the AZF, W55-W74 from the XJF.</t>
  </si>
  <si>
    <t xml:space="preserve">Table S2.Analytical data of trace elements in hot spring water samples </t>
  </si>
  <si>
    <t>As</t>
  </si>
  <si>
    <t>Li</t>
  </si>
  <si>
    <t>Be</t>
  </si>
  <si>
    <t>V</t>
  </si>
  <si>
    <t>Mn</t>
  </si>
  <si>
    <t>Cr</t>
  </si>
  <si>
    <t>Co</t>
  </si>
  <si>
    <t>Ni</t>
  </si>
  <si>
    <t>Cu</t>
  </si>
  <si>
    <t>Zn</t>
  </si>
  <si>
    <t>Mo</t>
  </si>
  <si>
    <t>Ba</t>
  </si>
  <si>
    <t>Tl</t>
  </si>
  <si>
    <t>Pb</t>
  </si>
  <si>
    <t>U</t>
  </si>
  <si>
    <t>Sr</t>
  </si>
  <si>
    <t>B</t>
  </si>
  <si>
    <t>Fe</t>
  </si>
  <si>
    <t>Al</t>
  </si>
  <si>
    <t>μg/L</t>
  </si>
  <si>
    <t>&lt;0.6</t>
  </si>
  <si>
    <t>&lt;0.002</t>
  </si>
  <si>
    <t>surface water</t>
  </si>
  <si>
    <r>
      <rPr>
        <sz val="11"/>
        <color theme="1"/>
        <rFont val="Palatino Linotype"/>
        <charset val="134"/>
      </rPr>
      <t>Note:</t>
    </r>
    <r>
      <rPr>
        <sz val="11"/>
        <color theme="1"/>
        <rFont val="等线"/>
        <charset val="134"/>
        <scheme val="minor"/>
      </rPr>
      <t xml:space="preserve"> </t>
    </r>
    <r>
      <rPr>
        <sz val="10"/>
        <color theme="1"/>
        <rFont val="Palatino Linotype"/>
        <charset val="134"/>
      </rPr>
      <t xml:space="preserve">  ‘-’represent No data. Data of surface water from literatures [35,36] </t>
    </r>
  </si>
  <si>
    <t xml:space="preserve">Table S3.The results of the water quality assessment using the measurements of trace elements </t>
  </si>
  <si>
    <t>PI</t>
  </si>
  <si>
    <t>WQI</t>
  </si>
  <si>
    <t>Standard limit</t>
  </si>
  <si>
    <t>Note: W1-W40 from the XSHF, W41-W54 from the AZF, W55-W74 from the XJF.</t>
  </si>
  <si>
    <t>Standard limit from China Standards for Drinking Water Quality (GB 5749-2022).</t>
  </si>
  <si>
    <t>Table S4.Saturation indices values of thermal water samples with respect to minerals.</t>
  </si>
  <si>
    <t>Melanterite</t>
  </si>
  <si>
    <t>Albite</t>
  </si>
  <si>
    <t>Anhydrite</t>
  </si>
  <si>
    <t>Anorthite</t>
  </si>
  <si>
    <t>Aragonite</t>
  </si>
  <si>
    <t>Barite</t>
  </si>
  <si>
    <t>Ca-Montmorillo</t>
  </si>
  <si>
    <t>Calcite</t>
  </si>
  <si>
    <t>Celestite</t>
  </si>
  <si>
    <t>Dolomite</t>
  </si>
  <si>
    <t>Gibbsite</t>
  </si>
  <si>
    <t>Goethite</t>
  </si>
  <si>
    <t>Gypsum</t>
  </si>
  <si>
    <t>Halite</t>
  </si>
  <si>
    <t>Hausmannite</t>
  </si>
  <si>
    <t>Hematite</t>
  </si>
  <si>
    <t>K-feldspar</t>
  </si>
  <si>
    <t>K-mica</t>
  </si>
  <si>
    <t>Manganite</t>
  </si>
  <si>
    <t>Pyrolusite</t>
  </si>
  <si>
    <t>Rhodochrosite</t>
  </si>
  <si>
    <t>Siderite</t>
  </si>
  <si>
    <t>Strontianite</t>
  </si>
  <si>
    <t>Witherite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</si>
</sst>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</numFmts>
  <fonts count="27">
    <font>
      <sz val="11"/>
      <color theme="1"/>
      <name val="等线"/>
      <charset val="134"/>
      <scheme val="minor"/>
    </font>
    <font>
      <sz val="10"/>
      <color theme="1"/>
      <name val="Palatino Linotype"/>
      <charset val="134"/>
    </font>
    <font>
      <b/>
      <sz val="10"/>
      <color theme="1"/>
      <name val="Palatino Linotype"/>
      <charset val="134"/>
    </font>
    <font>
      <sz val="11"/>
      <color theme="1"/>
      <name val="Palatino Linotype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perscript"/>
      <sz val="10"/>
      <color theme="1"/>
      <name val="Palatino Linotype"/>
      <charset val="134"/>
    </font>
    <font>
      <vertAlign val="subscript"/>
      <sz val="10"/>
      <color theme="1"/>
      <name val="Palatino Linotype"/>
      <charset val="134"/>
    </font>
    <font>
      <sz val="10"/>
      <color theme="1"/>
      <name val="等线"/>
      <charset val="134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2" fillId="0" borderId="1" xfId="0" applyNumberFormat="1" applyFont="1" applyBorder="1">
      <alignment vertical="center"/>
    </xf>
    <xf numFmtId="176" fontId="1" fillId="0" borderId="1" xfId="0" applyNumberFormat="1" applyFont="1" applyBorder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77" fontId="0" fillId="0" borderId="0" xfId="0" applyNumberFormat="1">
      <alignment vertical="center"/>
    </xf>
    <xf numFmtId="0" fontId="0" fillId="0" borderId="1" xfId="0" applyBorder="1">
      <alignment vertical="center"/>
    </xf>
    <xf numFmtId="177" fontId="1" fillId="0" borderId="0" xfId="0" applyNumberFormat="1" applyFont="1">
      <alignment vertical="center"/>
    </xf>
    <xf numFmtId="178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0"/>
  <sheetViews>
    <sheetView tabSelected="1" workbookViewId="0">
      <selection activeCell="B4" sqref="B4"/>
    </sheetView>
  </sheetViews>
  <sheetFormatPr defaultColWidth="9" defaultRowHeight="14"/>
  <cols>
    <col min="2" max="2" width="15.6666666666667" customWidth="1"/>
    <col min="3" max="4" width="13.775" customWidth="1"/>
    <col min="5" max="5" width="11" customWidth="1"/>
    <col min="6" max="16" width="9" customWidth="1"/>
    <col min="17" max="17" width="6.33333333333333" style="16" customWidth="1"/>
    <col min="18" max="18" width="16.4416666666667" customWidth="1"/>
    <col min="19" max="19" width="8.66666666666667" style="17"/>
  </cols>
  <sheetData>
    <row r="1" s="1" customFormat="1" ht="15.5" spans="1:19">
      <c r="A1" s="1" t="s">
        <v>0</v>
      </c>
      <c r="Q1" s="18"/>
      <c r="S1" s="7"/>
    </row>
    <row r="2" ht="17.5" spans="1:2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0" t="s">
        <v>17</v>
      </c>
      <c r="R2" s="2" t="s">
        <v>18</v>
      </c>
      <c r="S2" s="6" t="s">
        <v>19</v>
      </c>
      <c r="T2" s="2" t="s">
        <v>20</v>
      </c>
      <c r="U2" s="2" t="s">
        <v>21</v>
      </c>
    </row>
    <row r="3" ht="14.5" spans="1:21">
      <c r="A3" s="2"/>
      <c r="B3" s="2"/>
      <c r="C3" s="2"/>
      <c r="D3" s="2"/>
      <c r="E3" s="2" t="s">
        <v>22</v>
      </c>
      <c r="F3" s="2"/>
      <c r="G3" s="2" t="s">
        <v>23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 t="s">
        <v>24</v>
      </c>
      <c r="T3" s="2"/>
      <c r="U3" s="2"/>
    </row>
    <row r="4" ht="17.5" spans="1:21">
      <c r="A4" s="2" t="s">
        <v>25</v>
      </c>
      <c r="B4" s="1" t="s">
        <v>26</v>
      </c>
      <c r="C4" s="3">
        <v>31.79</v>
      </c>
      <c r="D4" s="3">
        <v>100.25</v>
      </c>
      <c r="E4" s="18">
        <v>11.29</v>
      </c>
      <c r="F4" s="3">
        <v>7.04</v>
      </c>
      <c r="G4" s="3">
        <v>68.04</v>
      </c>
      <c r="H4" s="3">
        <v>5.933</v>
      </c>
      <c r="I4" s="3">
        <v>41.282</v>
      </c>
      <c r="J4" s="3">
        <v>204.41</v>
      </c>
      <c r="K4" s="3">
        <v>9.444</v>
      </c>
      <c r="L4" s="3">
        <v>22.277</v>
      </c>
      <c r="M4" s="3">
        <v>113.454</v>
      </c>
      <c r="N4" s="3">
        <v>800.4237</v>
      </c>
      <c r="O4" s="3">
        <v>0</v>
      </c>
      <c r="P4" s="3">
        <f>G4+H4+I4+J4+K4+L4+M4+O4+0.5*N4</f>
        <v>865.05185</v>
      </c>
      <c r="Q4" s="18">
        <v>3.62</v>
      </c>
      <c r="R4" s="1" t="s">
        <v>27</v>
      </c>
      <c r="S4" s="8">
        <v>-17</v>
      </c>
      <c r="T4" s="19">
        <v>-131.1</v>
      </c>
      <c r="U4" s="3">
        <v>-1.25357421114985</v>
      </c>
    </row>
    <row r="5" ht="17.5" spans="1:21">
      <c r="A5" s="2" t="s">
        <v>28</v>
      </c>
      <c r="B5" s="1" t="s">
        <v>29</v>
      </c>
      <c r="C5" s="3">
        <v>31.76</v>
      </c>
      <c r="D5" s="3">
        <v>100.29</v>
      </c>
      <c r="E5" s="18">
        <v>25</v>
      </c>
      <c r="F5" s="3">
        <v>8.11</v>
      </c>
      <c r="G5" s="3">
        <v>2.749</v>
      </c>
      <c r="H5" s="3">
        <v>0.37</v>
      </c>
      <c r="I5" s="3">
        <v>9.284</v>
      </c>
      <c r="J5" s="3">
        <v>33.558</v>
      </c>
      <c r="K5" s="3">
        <v>0.309</v>
      </c>
      <c r="L5" s="3">
        <v>4.599</v>
      </c>
      <c r="M5" s="3">
        <v>0</v>
      </c>
      <c r="N5" s="3">
        <v>146.150144</v>
      </c>
      <c r="O5" s="3">
        <v>0</v>
      </c>
      <c r="P5" s="3">
        <f t="shared" ref="P5:P68" si="0">G5+H5+I5+J5+K5+L5+M5+O5+0.5*N5</f>
        <v>123.944072</v>
      </c>
      <c r="Q5" s="18">
        <v>3.46</v>
      </c>
      <c r="R5" s="1" t="s">
        <v>30</v>
      </c>
      <c r="S5" s="8" t="s">
        <v>31</v>
      </c>
      <c r="T5" s="19" t="s">
        <v>31</v>
      </c>
      <c r="U5" s="3">
        <v>0.78877108968151</v>
      </c>
    </row>
    <row r="6" ht="17.5" spans="1:21">
      <c r="A6" s="2" t="s">
        <v>32</v>
      </c>
      <c r="B6" s="1" t="s">
        <v>33</v>
      </c>
      <c r="C6" s="3">
        <v>31.58</v>
      </c>
      <c r="D6" s="3">
        <v>100.43</v>
      </c>
      <c r="E6" s="18">
        <v>26</v>
      </c>
      <c r="F6" s="3">
        <v>7.41</v>
      </c>
      <c r="G6" s="3">
        <v>15.472</v>
      </c>
      <c r="H6" s="3">
        <v>1.815</v>
      </c>
      <c r="I6" s="3">
        <v>20.927</v>
      </c>
      <c r="J6" s="3">
        <v>83.19</v>
      </c>
      <c r="K6" s="3">
        <v>1.713</v>
      </c>
      <c r="L6" s="3">
        <v>20.898</v>
      </c>
      <c r="M6" s="3">
        <v>19.8</v>
      </c>
      <c r="N6" s="3">
        <v>319.396</v>
      </c>
      <c r="O6" s="3">
        <v>0.11</v>
      </c>
      <c r="P6" s="3">
        <f t="shared" si="0"/>
        <v>323.623</v>
      </c>
      <c r="Q6" s="18">
        <v>4.62</v>
      </c>
      <c r="R6" s="1" t="s">
        <v>34</v>
      </c>
      <c r="S6" s="8">
        <v>-17.1</v>
      </c>
      <c r="T6" s="19">
        <v>-126.8</v>
      </c>
      <c r="U6" s="3">
        <v>0.927587947079906</v>
      </c>
    </row>
    <row r="7" ht="17.5" spans="1:21">
      <c r="A7" s="2" t="s">
        <v>35</v>
      </c>
      <c r="B7" s="1" t="s">
        <v>36</v>
      </c>
      <c r="C7" s="3">
        <v>31.54</v>
      </c>
      <c r="D7" s="3">
        <v>100.46</v>
      </c>
      <c r="E7" s="18">
        <v>11.3</v>
      </c>
      <c r="F7" s="3">
        <v>7.71</v>
      </c>
      <c r="G7" s="3">
        <v>449.124</v>
      </c>
      <c r="H7" s="3">
        <v>11.498</v>
      </c>
      <c r="I7" s="3">
        <v>14.159</v>
      </c>
      <c r="J7" s="3">
        <v>64.315</v>
      </c>
      <c r="K7" s="3">
        <v>3.09</v>
      </c>
      <c r="L7" s="3">
        <v>0.308</v>
      </c>
      <c r="M7" s="3">
        <v>111.3912</v>
      </c>
      <c r="N7" s="3">
        <v>1284.17322</v>
      </c>
      <c r="O7" s="3">
        <v>4.092</v>
      </c>
      <c r="P7" s="3">
        <f t="shared" si="0"/>
        <v>1300.06381</v>
      </c>
      <c r="Q7" s="18">
        <v>5.29</v>
      </c>
      <c r="R7" s="1" t="s">
        <v>37</v>
      </c>
      <c r="S7" s="8">
        <v>-17.1</v>
      </c>
      <c r="T7" s="19">
        <v>-133.9</v>
      </c>
      <c r="U7" s="3">
        <v>-0.719241526487494</v>
      </c>
    </row>
    <row r="8" ht="17.5" spans="1:21">
      <c r="A8" s="2" t="s">
        <v>38</v>
      </c>
      <c r="B8" s="1" t="s">
        <v>39</v>
      </c>
      <c r="C8" s="3">
        <v>31.58</v>
      </c>
      <c r="D8" s="3">
        <v>100.72</v>
      </c>
      <c r="E8" s="18">
        <v>19.7</v>
      </c>
      <c r="F8" s="3">
        <v>6.54</v>
      </c>
      <c r="G8" s="3">
        <v>372.217</v>
      </c>
      <c r="H8" s="3">
        <v>24.103</v>
      </c>
      <c r="I8" s="3">
        <v>55.134</v>
      </c>
      <c r="J8" s="3">
        <v>191.398</v>
      </c>
      <c r="K8" s="3">
        <v>1.696</v>
      </c>
      <c r="L8" s="3">
        <v>3.961</v>
      </c>
      <c r="M8" s="3">
        <v>0</v>
      </c>
      <c r="N8" s="3">
        <v>1586.772992</v>
      </c>
      <c r="O8" s="3">
        <v>6.524</v>
      </c>
      <c r="P8" s="3">
        <f t="shared" si="0"/>
        <v>1448.419496</v>
      </c>
      <c r="Q8" s="18">
        <v>8.84</v>
      </c>
      <c r="R8" s="1" t="s">
        <v>37</v>
      </c>
      <c r="S8" s="8">
        <v>-16.38</v>
      </c>
      <c r="T8" s="19">
        <v>-130.98</v>
      </c>
      <c r="U8" s="3">
        <v>4.12275222906633</v>
      </c>
    </row>
    <row r="9" ht="17.5" spans="1:21">
      <c r="A9" s="2" t="s">
        <v>40</v>
      </c>
      <c r="B9" s="1" t="s">
        <v>41</v>
      </c>
      <c r="C9" s="3">
        <v>31.27</v>
      </c>
      <c r="D9" s="3">
        <v>100.8</v>
      </c>
      <c r="E9" s="18">
        <v>31.5</v>
      </c>
      <c r="F9" s="3">
        <v>8.27</v>
      </c>
      <c r="G9" s="3">
        <v>618.240735924</v>
      </c>
      <c r="H9" s="3">
        <v>13.141785222</v>
      </c>
      <c r="I9" s="3">
        <v>25.420877335</v>
      </c>
      <c r="J9" s="3">
        <v>10.179668466</v>
      </c>
      <c r="K9" s="3">
        <v>4.8414312</v>
      </c>
      <c r="L9" s="3">
        <v>4.4519625</v>
      </c>
      <c r="M9" s="3">
        <v>69.6</v>
      </c>
      <c r="N9" s="3">
        <v>1778.76</v>
      </c>
      <c r="O9" s="3">
        <v>0</v>
      </c>
      <c r="P9" s="3">
        <f t="shared" si="0"/>
        <v>1635.256460647</v>
      </c>
      <c r="Q9" s="19" t="s">
        <v>31</v>
      </c>
      <c r="R9" s="1" t="s">
        <v>37</v>
      </c>
      <c r="S9" s="8">
        <v>-18.3</v>
      </c>
      <c r="T9" s="19">
        <v>-130</v>
      </c>
      <c r="U9" s="3">
        <v>-1.51472807576943</v>
      </c>
    </row>
    <row r="10" ht="17.5" spans="1:21">
      <c r="A10" s="2" t="s">
        <v>42</v>
      </c>
      <c r="B10" s="1" t="s">
        <v>43</v>
      </c>
      <c r="C10" s="3">
        <v>31.33</v>
      </c>
      <c r="D10" s="3">
        <v>100.9</v>
      </c>
      <c r="E10" s="18">
        <v>38.3</v>
      </c>
      <c r="F10" s="3">
        <v>7.58</v>
      </c>
      <c r="G10" s="3">
        <v>396.857</v>
      </c>
      <c r="H10" s="3">
        <v>11.683</v>
      </c>
      <c r="I10" s="3">
        <v>11.889</v>
      </c>
      <c r="J10" s="3">
        <v>140.379</v>
      </c>
      <c r="K10" s="3">
        <v>1.422</v>
      </c>
      <c r="L10" s="3">
        <v>11.598</v>
      </c>
      <c r="M10" s="3">
        <v>127.206</v>
      </c>
      <c r="N10" s="3">
        <v>1322.62152</v>
      </c>
      <c r="O10" s="3">
        <v>2.716</v>
      </c>
      <c r="P10" s="3">
        <f t="shared" si="0"/>
        <v>1365.06076</v>
      </c>
      <c r="Q10" s="18">
        <v>15.2</v>
      </c>
      <c r="R10" s="1" t="s">
        <v>37</v>
      </c>
      <c r="S10" s="8">
        <v>-14.7</v>
      </c>
      <c r="T10" s="19">
        <v>-118.7</v>
      </c>
      <c r="U10" s="3">
        <v>-0.660168026467172</v>
      </c>
    </row>
    <row r="11" ht="17.5" spans="1:21">
      <c r="A11" s="2" t="s">
        <v>44</v>
      </c>
      <c r="B11" s="1" t="s">
        <v>45</v>
      </c>
      <c r="C11" s="3">
        <v>31.17</v>
      </c>
      <c r="D11" s="3">
        <v>100.92</v>
      </c>
      <c r="E11" s="18">
        <v>15.89</v>
      </c>
      <c r="F11" s="3">
        <v>7.3</v>
      </c>
      <c r="G11" s="3">
        <v>270.155</v>
      </c>
      <c r="H11" s="3">
        <v>10.596</v>
      </c>
      <c r="I11" s="3">
        <v>90.468</v>
      </c>
      <c r="J11" s="3">
        <v>273.554</v>
      </c>
      <c r="K11" s="3">
        <v>1.133</v>
      </c>
      <c r="L11" s="3">
        <v>4.18</v>
      </c>
      <c r="M11" s="3">
        <v>187.0272</v>
      </c>
      <c r="N11" s="3">
        <v>1602.94458</v>
      </c>
      <c r="O11" s="3">
        <v>7.692</v>
      </c>
      <c r="P11" s="3">
        <f t="shared" si="0"/>
        <v>1646.27749</v>
      </c>
      <c r="Q11" s="18">
        <v>12.4</v>
      </c>
      <c r="R11" s="1" t="s">
        <v>46</v>
      </c>
      <c r="S11" s="8">
        <v>-17.9</v>
      </c>
      <c r="T11" s="19">
        <v>-134.8</v>
      </c>
      <c r="U11" s="3">
        <v>0.363072651293915</v>
      </c>
    </row>
    <row r="12" ht="17.5" spans="1:21">
      <c r="A12" s="2" t="s">
        <v>47</v>
      </c>
      <c r="B12" s="1" t="s">
        <v>48</v>
      </c>
      <c r="C12" s="3">
        <v>31.08</v>
      </c>
      <c r="D12" s="3">
        <v>101.01</v>
      </c>
      <c r="E12" s="18">
        <v>14.3</v>
      </c>
      <c r="F12" s="3">
        <v>7.46</v>
      </c>
      <c r="G12" s="3">
        <v>77.64</v>
      </c>
      <c r="H12" s="3">
        <v>7.792</v>
      </c>
      <c r="I12" s="3">
        <v>218.725</v>
      </c>
      <c r="J12" s="3">
        <v>281.09</v>
      </c>
      <c r="K12" s="3">
        <v>1.536</v>
      </c>
      <c r="L12" s="3">
        <v>156.69</v>
      </c>
      <c r="M12" s="3">
        <v>191.1528</v>
      </c>
      <c r="N12" s="3">
        <v>1567.99158</v>
      </c>
      <c r="O12" s="3">
        <v>7.475</v>
      </c>
      <c r="P12" s="3">
        <f t="shared" si="0"/>
        <v>1726.09659</v>
      </c>
      <c r="Q12" s="19" t="s">
        <v>31</v>
      </c>
      <c r="R12" s="1" t="s">
        <v>49</v>
      </c>
      <c r="S12" s="8">
        <v>-13.8</v>
      </c>
      <c r="T12" s="19">
        <v>-106.1</v>
      </c>
      <c r="U12" s="3">
        <v>0.246829093680049</v>
      </c>
    </row>
    <row r="13" ht="17.5" spans="1:21">
      <c r="A13" s="2" t="s">
        <v>50</v>
      </c>
      <c r="B13" s="1" t="s">
        <v>51</v>
      </c>
      <c r="C13" s="3">
        <v>31.07</v>
      </c>
      <c r="D13" s="3">
        <v>101.02</v>
      </c>
      <c r="E13" s="18">
        <v>15.3</v>
      </c>
      <c r="F13" s="3">
        <v>7.71</v>
      </c>
      <c r="G13" s="3">
        <v>31.22</v>
      </c>
      <c r="H13" s="3">
        <v>6.806</v>
      </c>
      <c r="I13" s="3">
        <v>440.353</v>
      </c>
      <c r="J13" s="3">
        <v>51.493</v>
      </c>
      <c r="K13" s="3">
        <v>0.854</v>
      </c>
      <c r="L13" s="3">
        <v>688.863</v>
      </c>
      <c r="M13" s="3">
        <v>123.768</v>
      </c>
      <c r="N13" s="3">
        <v>1320.52434</v>
      </c>
      <c r="O13" s="3">
        <v>1.221</v>
      </c>
      <c r="P13" s="3">
        <f t="shared" si="0"/>
        <v>2004.84017</v>
      </c>
      <c r="Q13" s="18">
        <v>4.58</v>
      </c>
      <c r="R13" s="1" t="s">
        <v>52</v>
      </c>
      <c r="S13" s="8" t="s">
        <v>31</v>
      </c>
      <c r="T13" s="19" t="s">
        <v>31</v>
      </c>
      <c r="U13" s="3">
        <v>0.391518687990625</v>
      </c>
    </row>
    <row r="14" ht="17.5" spans="1:21">
      <c r="A14" s="2" t="s">
        <v>53</v>
      </c>
      <c r="B14" s="1" t="s">
        <v>54</v>
      </c>
      <c r="C14" s="3">
        <v>31.01</v>
      </c>
      <c r="D14" s="3">
        <v>101.08</v>
      </c>
      <c r="E14" s="18">
        <v>13.19</v>
      </c>
      <c r="F14" s="3">
        <v>7.46</v>
      </c>
      <c r="G14" s="3">
        <v>15.121</v>
      </c>
      <c r="H14" s="3">
        <v>1.208</v>
      </c>
      <c r="I14" s="3">
        <v>23.172</v>
      </c>
      <c r="J14" s="3">
        <v>265.942</v>
      </c>
      <c r="K14" s="3">
        <v>1.586</v>
      </c>
      <c r="L14" s="3">
        <v>6.474</v>
      </c>
      <c r="M14" s="3">
        <v>0</v>
      </c>
      <c r="N14" s="3">
        <v>985.6746</v>
      </c>
      <c r="O14" s="3">
        <v>0.594</v>
      </c>
      <c r="P14" s="3">
        <f t="shared" si="0"/>
        <v>806.9343</v>
      </c>
      <c r="Q14" s="18">
        <v>7.58</v>
      </c>
      <c r="R14" s="1" t="s">
        <v>34</v>
      </c>
      <c r="S14" s="8">
        <v>-15.7</v>
      </c>
      <c r="T14" s="19">
        <v>-125.7</v>
      </c>
      <c r="U14" s="3">
        <v>-0.668267017366871</v>
      </c>
    </row>
    <row r="15" ht="17.5" spans="1:21">
      <c r="A15" s="2" t="s">
        <v>55</v>
      </c>
      <c r="B15" s="1" t="s">
        <v>56</v>
      </c>
      <c r="C15" s="3">
        <v>31.06</v>
      </c>
      <c r="D15" s="3">
        <v>101.1</v>
      </c>
      <c r="E15" s="18">
        <v>52</v>
      </c>
      <c r="F15" s="3">
        <v>7.4</v>
      </c>
      <c r="G15" s="3">
        <v>530.293</v>
      </c>
      <c r="H15" s="3">
        <v>15.843</v>
      </c>
      <c r="I15" s="3">
        <v>13.379</v>
      </c>
      <c r="J15" s="3">
        <v>40.305</v>
      </c>
      <c r="K15" s="3">
        <v>1.919</v>
      </c>
      <c r="L15" s="3">
        <v>19.598</v>
      </c>
      <c r="M15" s="3">
        <v>102.3</v>
      </c>
      <c r="N15" s="3">
        <v>1316.502</v>
      </c>
      <c r="O15" s="3">
        <v>0.084</v>
      </c>
      <c r="P15" s="3">
        <f t="shared" si="0"/>
        <v>1381.972</v>
      </c>
      <c r="Q15" s="18">
        <v>21.4</v>
      </c>
      <c r="R15" s="1" t="s">
        <v>37</v>
      </c>
      <c r="S15" s="8">
        <v>-19.2</v>
      </c>
      <c r="T15" s="19">
        <v>-144.9</v>
      </c>
      <c r="U15" s="3">
        <v>1.09216977097353</v>
      </c>
    </row>
    <row r="16" ht="17.5" spans="1:21">
      <c r="A16" s="2" t="s">
        <v>57</v>
      </c>
      <c r="B16" s="1" t="s">
        <v>58</v>
      </c>
      <c r="C16" s="3">
        <v>31.18</v>
      </c>
      <c r="D16" s="3">
        <v>101.17</v>
      </c>
      <c r="E16" s="18">
        <v>51.2</v>
      </c>
      <c r="F16" s="3">
        <v>7.59</v>
      </c>
      <c r="G16" s="3">
        <v>189.444</v>
      </c>
      <c r="H16" s="3">
        <v>11.546</v>
      </c>
      <c r="I16" s="3">
        <v>12.286</v>
      </c>
      <c r="J16" s="3">
        <v>6.576</v>
      </c>
      <c r="K16" s="3">
        <v>6.899</v>
      </c>
      <c r="L16" s="3">
        <v>4.812</v>
      </c>
      <c r="M16" s="3">
        <v>0</v>
      </c>
      <c r="N16" s="3">
        <v>655.284</v>
      </c>
      <c r="O16" s="3">
        <v>0.414</v>
      </c>
      <c r="P16" s="3">
        <f t="shared" si="0"/>
        <v>559.619</v>
      </c>
      <c r="Q16" s="19" t="s">
        <v>31</v>
      </c>
      <c r="R16" s="1" t="s">
        <v>37</v>
      </c>
      <c r="S16" s="8" t="s">
        <v>31</v>
      </c>
      <c r="T16" s="19" t="s">
        <v>31</v>
      </c>
      <c r="U16" s="3">
        <v>-2.76708271568472</v>
      </c>
    </row>
    <row r="17" ht="17.5" spans="1:21">
      <c r="A17" s="2" t="s">
        <v>59</v>
      </c>
      <c r="B17" s="1" t="s">
        <v>60</v>
      </c>
      <c r="C17" s="3">
        <v>31.28</v>
      </c>
      <c r="D17" s="3">
        <v>101.18</v>
      </c>
      <c r="E17" s="18">
        <v>36.6</v>
      </c>
      <c r="F17" s="3">
        <v>7.21</v>
      </c>
      <c r="G17" s="3">
        <v>224.145</v>
      </c>
      <c r="H17" s="3">
        <v>20.074</v>
      </c>
      <c r="I17" s="3">
        <v>24.488</v>
      </c>
      <c r="J17" s="3">
        <v>5.75</v>
      </c>
      <c r="K17" s="3">
        <v>17.783</v>
      </c>
      <c r="L17" s="3">
        <v>8.171</v>
      </c>
      <c r="M17" s="3">
        <v>0</v>
      </c>
      <c r="N17" s="3">
        <v>900.57</v>
      </c>
      <c r="O17" s="3">
        <v>2.24</v>
      </c>
      <c r="P17" s="3">
        <f t="shared" si="0"/>
        <v>752.936</v>
      </c>
      <c r="Q17" s="19" t="s">
        <v>31</v>
      </c>
      <c r="R17" s="1" t="s">
        <v>37</v>
      </c>
      <c r="S17" s="8" t="s">
        <v>31</v>
      </c>
      <c r="T17" s="19" t="s">
        <v>31</v>
      </c>
      <c r="U17" s="3">
        <v>-5.13633038567994</v>
      </c>
    </row>
    <row r="18" ht="17.5" spans="1:21">
      <c r="A18" s="2" t="s">
        <v>61</v>
      </c>
      <c r="B18" s="1" t="s">
        <v>62</v>
      </c>
      <c r="C18" s="3">
        <v>31.14</v>
      </c>
      <c r="D18" s="3">
        <v>101.18</v>
      </c>
      <c r="E18" s="18">
        <v>54.6</v>
      </c>
      <c r="F18" s="3">
        <v>8.18</v>
      </c>
      <c r="G18" s="3">
        <v>153.556</v>
      </c>
      <c r="H18" s="3">
        <v>11.537</v>
      </c>
      <c r="I18" s="3">
        <v>9.804</v>
      </c>
      <c r="J18" s="3">
        <v>6.664</v>
      </c>
      <c r="K18" s="3">
        <v>6.702</v>
      </c>
      <c r="L18" s="3">
        <v>6.685</v>
      </c>
      <c r="M18" s="3">
        <v>0</v>
      </c>
      <c r="N18" s="3">
        <v>634.23</v>
      </c>
      <c r="O18" s="3">
        <v>0</v>
      </c>
      <c r="P18" s="3">
        <f t="shared" si="0"/>
        <v>512.063</v>
      </c>
      <c r="Q18" s="19" t="s">
        <v>31</v>
      </c>
      <c r="R18" s="1" t="s">
        <v>37</v>
      </c>
      <c r="S18" s="8" t="s">
        <v>31</v>
      </c>
      <c r="T18" s="19" t="s">
        <v>31</v>
      </c>
      <c r="U18" s="3">
        <v>-6.90511968817907</v>
      </c>
    </row>
    <row r="19" ht="17.5" spans="1:21">
      <c r="A19" s="2" t="s">
        <v>63</v>
      </c>
      <c r="B19" s="1" t="s">
        <v>64</v>
      </c>
      <c r="C19" s="3">
        <v>30.95</v>
      </c>
      <c r="D19" s="3">
        <v>101.24</v>
      </c>
      <c r="E19" s="18">
        <v>42.7</v>
      </c>
      <c r="F19" s="3">
        <v>7.66</v>
      </c>
      <c r="G19" s="3">
        <v>859.674</v>
      </c>
      <c r="H19" s="3">
        <v>16.049</v>
      </c>
      <c r="I19" s="3">
        <v>14.747</v>
      </c>
      <c r="J19" s="3">
        <v>87.834</v>
      </c>
      <c r="K19" s="3">
        <v>6.679</v>
      </c>
      <c r="L19" s="3">
        <v>1.752</v>
      </c>
      <c r="M19" s="3">
        <v>202.62</v>
      </c>
      <c r="N19" s="3">
        <v>2098.217</v>
      </c>
      <c r="O19" s="3">
        <v>9.516</v>
      </c>
      <c r="P19" s="3">
        <f t="shared" si="0"/>
        <v>2247.9795</v>
      </c>
      <c r="Q19" s="18">
        <v>45</v>
      </c>
      <c r="R19" s="1" t="s">
        <v>37</v>
      </c>
      <c r="S19" s="8">
        <v>-17.7</v>
      </c>
      <c r="T19" s="19">
        <v>-137.8</v>
      </c>
      <c r="U19" s="3">
        <v>1.10676416436273</v>
      </c>
    </row>
    <row r="20" ht="17.5" spans="1:21">
      <c r="A20" s="2" t="s">
        <v>65</v>
      </c>
      <c r="B20" s="1" t="s">
        <v>66</v>
      </c>
      <c r="C20" s="3">
        <v>30.86</v>
      </c>
      <c r="D20" s="3">
        <v>101.29</v>
      </c>
      <c r="E20" s="18">
        <v>45.4</v>
      </c>
      <c r="F20" s="3">
        <v>7.04</v>
      </c>
      <c r="G20" s="3">
        <v>114.213</v>
      </c>
      <c r="H20" s="3">
        <v>16.477</v>
      </c>
      <c r="I20" s="3">
        <v>38.598</v>
      </c>
      <c r="J20" s="3">
        <v>134.804</v>
      </c>
      <c r="K20" s="3">
        <v>3.14</v>
      </c>
      <c r="L20" s="3">
        <v>10.809</v>
      </c>
      <c r="M20" s="3">
        <v>0</v>
      </c>
      <c r="N20" s="3">
        <v>883.707</v>
      </c>
      <c r="O20" s="3">
        <v>41.931</v>
      </c>
      <c r="P20" s="3">
        <f t="shared" si="0"/>
        <v>801.8255</v>
      </c>
      <c r="Q20" s="18">
        <v>21.6</v>
      </c>
      <c r="R20" s="1" t="s">
        <v>46</v>
      </c>
      <c r="S20" s="8">
        <v>-18.2</v>
      </c>
      <c r="T20" s="19">
        <v>-141.6</v>
      </c>
      <c r="U20" s="3">
        <v>-0.214092586453573</v>
      </c>
    </row>
    <row r="21" ht="17.5" spans="1:21">
      <c r="A21" s="2" t="s">
        <v>67</v>
      </c>
      <c r="B21" s="1" t="s">
        <v>68</v>
      </c>
      <c r="C21" s="3">
        <v>31.04</v>
      </c>
      <c r="D21" s="3">
        <v>101.4</v>
      </c>
      <c r="E21" s="18">
        <v>73</v>
      </c>
      <c r="F21" s="3">
        <v>9.35</v>
      </c>
      <c r="G21" s="3">
        <v>221.437023331912</v>
      </c>
      <c r="H21" s="3">
        <v>15.8179045651613</v>
      </c>
      <c r="I21" s="3">
        <v>17.4495975001045</v>
      </c>
      <c r="J21" s="3">
        <v>14.6131429152119</v>
      </c>
      <c r="K21" s="3">
        <v>20.2999</v>
      </c>
      <c r="L21" s="3">
        <v>5.5509</v>
      </c>
      <c r="M21" s="3">
        <v>0</v>
      </c>
      <c r="N21" s="3">
        <v>814.451</v>
      </c>
      <c r="O21" s="19" t="s">
        <v>31</v>
      </c>
      <c r="P21" s="3">
        <f>G21+H21+I21+J21+K21+L21+M21+0.5*N21</f>
        <v>702.39396831239</v>
      </c>
      <c r="Q21" s="19" t="s">
        <v>31</v>
      </c>
      <c r="R21" s="1" t="s">
        <v>37</v>
      </c>
      <c r="S21" s="8" t="s">
        <v>31</v>
      </c>
      <c r="T21" s="19" t="s">
        <v>31</v>
      </c>
      <c r="U21" s="3">
        <v>-3.4677217899819</v>
      </c>
    </row>
    <row r="22" ht="17.5" spans="1:21">
      <c r="A22" s="2" t="s">
        <v>69</v>
      </c>
      <c r="B22" s="1" t="s">
        <v>70</v>
      </c>
      <c r="C22" s="3">
        <v>30.49</v>
      </c>
      <c r="D22" s="3">
        <v>101.53</v>
      </c>
      <c r="E22" s="18">
        <v>34.36</v>
      </c>
      <c r="F22" s="3">
        <v>7.14</v>
      </c>
      <c r="G22" s="3">
        <v>113.311</v>
      </c>
      <c r="H22" s="3">
        <v>20.674</v>
      </c>
      <c r="I22" s="3">
        <v>48.436</v>
      </c>
      <c r="J22" s="3">
        <v>121.887</v>
      </c>
      <c r="K22" s="3">
        <v>1.723</v>
      </c>
      <c r="L22" s="3">
        <v>2.354</v>
      </c>
      <c r="M22" s="3">
        <v>125.1432</v>
      </c>
      <c r="N22" s="3">
        <v>747.29514</v>
      </c>
      <c r="O22" s="3">
        <v>0</v>
      </c>
      <c r="P22" s="3">
        <f t="shared" si="0"/>
        <v>807.17577</v>
      </c>
      <c r="Q22" s="18">
        <v>34.9</v>
      </c>
      <c r="R22" s="1" t="s">
        <v>46</v>
      </c>
      <c r="S22" s="8">
        <v>-17.4</v>
      </c>
      <c r="T22" s="19">
        <v>-132.9</v>
      </c>
      <c r="U22" s="3">
        <v>-1.452023899688</v>
      </c>
    </row>
    <row r="23" ht="17.5" spans="1:21">
      <c r="A23" s="2" t="s">
        <v>71</v>
      </c>
      <c r="B23" s="1" t="s">
        <v>72</v>
      </c>
      <c r="C23" s="3">
        <v>30.54</v>
      </c>
      <c r="D23" s="3">
        <v>101.62</v>
      </c>
      <c r="E23" s="18">
        <v>54</v>
      </c>
      <c r="F23" s="3">
        <v>7.54</v>
      </c>
      <c r="G23" s="3">
        <v>472.388</v>
      </c>
      <c r="H23" s="3">
        <v>81.561</v>
      </c>
      <c r="I23" s="3">
        <v>33.146</v>
      </c>
      <c r="J23" s="3">
        <v>106.992</v>
      </c>
      <c r="K23" s="3">
        <v>19.864</v>
      </c>
      <c r="L23" s="3">
        <v>0.697</v>
      </c>
      <c r="M23" s="3">
        <v>108.6408</v>
      </c>
      <c r="N23" s="3">
        <v>1623.91638</v>
      </c>
      <c r="O23" s="3">
        <v>5.815</v>
      </c>
      <c r="P23" s="3">
        <f t="shared" si="0"/>
        <v>1641.06199</v>
      </c>
      <c r="Q23" s="18">
        <v>23.9</v>
      </c>
      <c r="R23" s="1" t="s">
        <v>37</v>
      </c>
      <c r="S23" s="8">
        <v>-18.1</v>
      </c>
      <c r="T23" s="19">
        <v>-136.6</v>
      </c>
      <c r="U23" s="3">
        <v>-0.137153758813921</v>
      </c>
    </row>
    <row r="24" ht="17.5" spans="1:21">
      <c r="A24" s="2" t="s">
        <v>73</v>
      </c>
      <c r="B24" s="1" t="s">
        <v>74</v>
      </c>
      <c r="C24" s="3">
        <v>30.55</v>
      </c>
      <c r="D24" s="3">
        <v>101.62</v>
      </c>
      <c r="E24" s="18">
        <v>72</v>
      </c>
      <c r="F24" s="3">
        <v>7.65</v>
      </c>
      <c r="G24" s="3">
        <v>284.95</v>
      </c>
      <c r="H24" s="3">
        <v>23.197</v>
      </c>
      <c r="I24" s="3">
        <v>1.451</v>
      </c>
      <c r="J24" s="3">
        <v>47.816</v>
      </c>
      <c r="K24" s="3">
        <v>30.996</v>
      </c>
      <c r="L24" s="3">
        <v>1.694</v>
      </c>
      <c r="M24" s="3">
        <v>110.016</v>
      </c>
      <c r="N24" s="3">
        <v>704.65248</v>
      </c>
      <c r="O24" s="3">
        <v>0</v>
      </c>
      <c r="P24" s="3">
        <f t="shared" si="0"/>
        <v>852.44624</v>
      </c>
      <c r="Q24" s="18">
        <v>54.8</v>
      </c>
      <c r="R24" s="1" t="s">
        <v>37</v>
      </c>
      <c r="S24" s="8">
        <v>-18.5</v>
      </c>
      <c r="T24" s="19">
        <v>-140.5</v>
      </c>
      <c r="U24" s="3">
        <v>-0.998731373469033</v>
      </c>
    </row>
    <row r="25" ht="17.5" spans="1:21">
      <c r="A25" s="2" t="s">
        <v>75</v>
      </c>
      <c r="B25" s="1" t="s">
        <v>76</v>
      </c>
      <c r="C25" s="3">
        <v>30.28</v>
      </c>
      <c r="D25" s="3">
        <v>101.84</v>
      </c>
      <c r="E25" s="18">
        <v>51.3</v>
      </c>
      <c r="F25" s="3">
        <v>6.62</v>
      </c>
      <c r="G25" s="3">
        <v>216.85</v>
      </c>
      <c r="H25" s="3">
        <v>16.857</v>
      </c>
      <c r="I25" s="3">
        <v>4.715</v>
      </c>
      <c r="J25" s="3">
        <v>43.505</v>
      </c>
      <c r="K25" s="3">
        <v>32.806</v>
      </c>
      <c r="L25" s="3">
        <v>0.786</v>
      </c>
      <c r="M25" s="3">
        <v>0</v>
      </c>
      <c r="N25" s="3">
        <v>612.14598</v>
      </c>
      <c r="O25" s="3">
        <v>0</v>
      </c>
      <c r="P25" s="3">
        <f t="shared" si="0"/>
        <v>621.59199</v>
      </c>
      <c r="Q25" s="18">
        <v>43.4</v>
      </c>
      <c r="R25" s="1" t="s">
        <v>37</v>
      </c>
      <c r="S25" s="8">
        <v>-16.7</v>
      </c>
      <c r="T25" s="19">
        <v>-127.7</v>
      </c>
      <c r="U25" s="3">
        <v>3.10410697268884</v>
      </c>
    </row>
    <row r="26" ht="17.5" spans="1:21">
      <c r="A26" s="2" t="s">
        <v>77</v>
      </c>
      <c r="B26" s="1" t="s">
        <v>78</v>
      </c>
      <c r="C26" s="3">
        <v>30.01</v>
      </c>
      <c r="D26" s="3">
        <v>101.86</v>
      </c>
      <c r="E26" s="18">
        <v>41</v>
      </c>
      <c r="F26" s="3">
        <v>7.93</v>
      </c>
      <c r="G26" s="3">
        <v>163.071</v>
      </c>
      <c r="H26" s="3">
        <v>2.928</v>
      </c>
      <c r="I26" s="3">
        <v>0.527</v>
      </c>
      <c r="J26" s="3">
        <v>7.316</v>
      </c>
      <c r="K26" s="3">
        <v>7.596</v>
      </c>
      <c r="L26" s="3">
        <v>5.886</v>
      </c>
      <c r="M26" s="3">
        <v>66.6972</v>
      </c>
      <c r="N26" s="3">
        <v>262.84656</v>
      </c>
      <c r="O26" s="3">
        <v>0</v>
      </c>
      <c r="P26" s="3">
        <f t="shared" si="0"/>
        <v>385.44448</v>
      </c>
      <c r="Q26" s="18">
        <v>15.1</v>
      </c>
      <c r="R26" s="1" t="s">
        <v>37</v>
      </c>
      <c r="S26" s="8">
        <v>-18.5</v>
      </c>
      <c r="T26" s="19">
        <v>-131.3</v>
      </c>
      <c r="U26" s="3">
        <v>2.44412258700319</v>
      </c>
    </row>
    <row r="27" ht="17.5" spans="1:21">
      <c r="A27" s="2" t="s">
        <v>79</v>
      </c>
      <c r="B27" s="1" t="s">
        <v>80</v>
      </c>
      <c r="C27" s="3">
        <v>30.27</v>
      </c>
      <c r="D27" s="3">
        <v>101.87</v>
      </c>
      <c r="E27" s="18">
        <v>61.3</v>
      </c>
      <c r="F27" s="3">
        <v>7.07</v>
      </c>
      <c r="G27" s="3">
        <v>297.338</v>
      </c>
      <c r="H27" s="3">
        <v>31.37</v>
      </c>
      <c r="I27" s="3">
        <v>11.099</v>
      </c>
      <c r="J27" s="3">
        <v>75.379</v>
      </c>
      <c r="K27" s="3">
        <v>59.662</v>
      </c>
      <c r="L27" s="3">
        <v>2.827</v>
      </c>
      <c r="M27" s="3">
        <v>0</v>
      </c>
      <c r="N27" s="3">
        <v>963.28272</v>
      </c>
      <c r="O27" s="3">
        <v>0</v>
      </c>
      <c r="P27" s="3">
        <f t="shared" si="0"/>
        <v>959.31636</v>
      </c>
      <c r="Q27" s="18">
        <v>43</v>
      </c>
      <c r="R27" s="1" t="s">
        <v>37</v>
      </c>
      <c r="S27" s="8">
        <v>-16.3</v>
      </c>
      <c r="T27" s="19">
        <v>-121.9</v>
      </c>
      <c r="U27" s="3">
        <v>1.24444365739014</v>
      </c>
    </row>
    <row r="28" ht="17.5" spans="1:21">
      <c r="A28" s="2" t="s">
        <v>81</v>
      </c>
      <c r="B28" s="1" t="s">
        <v>82</v>
      </c>
      <c r="C28" s="3">
        <v>30.17</v>
      </c>
      <c r="D28" s="3">
        <v>101.87</v>
      </c>
      <c r="E28" s="18">
        <v>69</v>
      </c>
      <c r="F28" s="3">
        <v>7.27</v>
      </c>
      <c r="G28" s="3">
        <v>157.182</v>
      </c>
      <c r="H28" s="3">
        <v>13.952</v>
      </c>
      <c r="I28" s="3">
        <v>1.383</v>
      </c>
      <c r="J28" s="3">
        <v>20.187</v>
      </c>
      <c r="K28" s="3">
        <v>37.282</v>
      </c>
      <c r="L28" s="3">
        <v>13.729</v>
      </c>
      <c r="M28" s="3">
        <v>0</v>
      </c>
      <c r="N28" s="3">
        <v>351.85776</v>
      </c>
      <c r="O28" s="3">
        <v>0.168</v>
      </c>
      <c r="P28" s="3">
        <f t="shared" si="0"/>
        <v>419.81188</v>
      </c>
      <c r="Q28" s="18">
        <v>71.2</v>
      </c>
      <c r="R28" s="1" t="s">
        <v>37</v>
      </c>
      <c r="S28" s="8">
        <v>-16.9</v>
      </c>
      <c r="T28" s="19">
        <v>-130</v>
      </c>
      <c r="U28" s="3">
        <v>3.92019088897078</v>
      </c>
    </row>
    <row r="29" ht="17.5" spans="1:21">
      <c r="A29" s="2" t="s">
        <v>83</v>
      </c>
      <c r="B29" s="1" t="s">
        <v>84</v>
      </c>
      <c r="C29" s="3">
        <v>30.25</v>
      </c>
      <c r="D29" s="3">
        <v>101.88</v>
      </c>
      <c r="E29" s="18">
        <v>58.6</v>
      </c>
      <c r="F29" s="3">
        <v>7.2</v>
      </c>
      <c r="G29" s="3">
        <v>394.225</v>
      </c>
      <c r="H29" s="3">
        <v>37.863</v>
      </c>
      <c r="I29" s="3">
        <v>15.147</v>
      </c>
      <c r="J29" s="3">
        <v>83.337</v>
      </c>
      <c r="K29" s="3">
        <v>82.259</v>
      </c>
      <c r="L29" s="3">
        <v>1.635</v>
      </c>
      <c r="M29" s="3">
        <v>15.6024</v>
      </c>
      <c r="N29" s="3">
        <v>1168.0524</v>
      </c>
      <c r="O29" s="3">
        <v>0</v>
      </c>
      <c r="P29" s="3">
        <f t="shared" si="0"/>
        <v>1214.0946</v>
      </c>
      <c r="Q29" s="18">
        <v>49.1</v>
      </c>
      <c r="R29" s="1" t="s">
        <v>37</v>
      </c>
      <c r="S29" s="8">
        <v>-17.1</v>
      </c>
      <c r="T29" s="19">
        <v>-128.2</v>
      </c>
      <c r="U29" s="3">
        <v>1.66864657073519</v>
      </c>
    </row>
    <row r="30" ht="17.5" spans="1:21">
      <c r="A30" s="2" t="s">
        <v>85</v>
      </c>
      <c r="B30" s="1" t="s">
        <v>86</v>
      </c>
      <c r="C30" s="3">
        <v>30.25</v>
      </c>
      <c r="D30" s="3">
        <v>101.88</v>
      </c>
      <c r="E30" s="18">
        <v>55.6</v>
      </c>
      <c r="F30" s="3">
        <v>6.86</v>
      </c>
      <c r="G30" s="3">
        <v>290.267</v>
      </c>
      <c r="H30" s="3">
        <v>27.627</v>
      </c>
      <c r="I30" s="3">
        <v>19.528</v>
      </c>
      <c r="J30" s="3">
        <v>95.66</v>
      </c>
      <c r="K30" s="3">
        <v>54.375</v>
      </c>
      <c r="L30" s="3">
        <v>1.453</v>
      </c>
      <c r="M30" s="3">
        <v>0</v>
      </c>
      <c r="N30" s="3">
        <v>1041.8739</v>
      </c>
      <c r="O30" s="3">
        <v>4.584</v>
      </c>
      <c r="P30" s="3">
        <f t="shared" si="0"/>
        <v>1014.43095</v>
      </c>
      <c r="Q30" s="18">
        <v>39.5</v>
      </c>
      <c r="R30" s="1" t="s">
        <v>37</v>
      </c>
      <c r="S30" s="8">
        <v>-17.2</v>
      </c>
      <c r="T30" s="19">
        <v>-125.2</v>
      </c>
      <c r="U30" s="3">
        <v>1.33042603194227</v>
      </c>
    </row>
    <row r="31" ht="17.5" spans="1:21">
      <c r="A31" s="2" t="s">
        <v>87</v>
      </c>
      <c r="B31" s="1" t="s">
        <v>88</v>
      </c>
      <c r="C31" s="3">
        <v>30.09</v>
      </c>
      <c r="D31" s="3">
        <v>101.95</v>
      </c>
      <c r="E31" s="18">
        <v>41.6</v>
      </c>
      <c r="F31" s="3">
        <v>6.65</v>
      </c>
      <c r="G31" s="3">
        <v>131.668</v>
      </c>
      <c r="H31" s="3">
        <v>22.063</v>
      </c>
      <c r="I31" s="3">
        <v>45.87</v>
      </c>
      <c r="J31" s="3">
        <v>239.977</v>
      </c>
      <c r="K31" s="3">
        <v>32.428</v>
      </c>
      <c r="L31" s="3">
        <v>99.764</v>
      </c>
      <c r="M31" s="3">
        <v>129.2688</v>
      </c>
      <c r="N31" s="3">
        <v>923.45826</v>
      </c>
      <c r="O31" s="3">
        <v>6.314</v>
      </c>
      <c r="P31" s="3">
        <f t="shared" si="0"/>
        <v>1169.08193</v>
      </c>
      <c r="Q31" s="18">
        <v>19.8</v>
      </c>
      <c r="R31" s="1" t="s">
        <v>46</v>
      </c>
      <c r="S31" s="8">
        <v>-15.7</v>
      </c>
      <c r="T31" s="19">
        <v>-111.9</v>
      </c>
      <c r="U31" s="3">
        <v>-0.481015347148179</v>
      </c>
    </row>
    <row r="32" ht="17.5" spans="1:21">
      <c r="A32" s="2" t="s">
        <v>89</v>
      </c>
      <c r="B32" s="1" t="s">
        <v>90</v>
      </c>
      <c r="C32" s="3">
        <v>29.98</v>
      </c>
      <c r="D32" s="3">
        <v>101.96</v>
      </c>
      <c r="E32" s="18">
        <v>72.17</v>
      </c>
      <c r="F32" s="3">
        <v>7.82</v>
      </c>
      <c r="G32" s="3">
        <v>505.442</v>
      </c>
      <c r="H32" s="3">
        <v>53.515</v>
      </c>
      <c r="I32" s="3">
        <v>31.611</v>
      </c>
      <c r="J32" s="3">
        <v>36.412</v>
      </c>
      <c r="K32" s="3">
        <v>231.542</v>
      </c>
      <c r="L32" s="3">
        <v>1.011</v>
      </c>
      <c r="M32" s="3">
        <v>114.1416</v>
      </c>
      <c r="N32" s="3">
        <v>1148.55558</v>
      </c>
      <c r="O32" s="3">
        <v>3.559</v>
      </c>
      <c r="P32" s="3">
        <f t="shared" si="0"/>
        <v>1551.51139</v>
      </c>
      <c r="Q32" s="18">
        <v>41.4</v>
      </c>
      <c r="R32" s="1" t="s">
        <v>91</v>
      </c>
      <c r="S32" s="8">
        <v>-14</v>
      </c>
      <c r="T32" s="19">
        <v>-110.6</v>
      </c>
      <c r="U32" s="3">
        <v>-1.25489231372413</v>
      </c>
    </row>
    <row r="33" ht="17.5" spans="1:21">
      <c r="A33" s="2" t="s">
        <v>92</v>
      </c>
      <c r="B33" s="1" t="s">
        <v>93</v>
      </c>
      <c r="C33" s="3">
        <v>29.97</v>
      </c>
      <c r="D33" s="3">
        <v>101.96</v>
      </c>
      <c r="E33" s="18">
        <v>72</v>
      </c>
      <c r="F33" s="3">
        <v>7.73</v>
      </c>
      <c r="G33" s="3">
        <v>533.112</v>
      </c>
      <c r="H33" s="3">
        <v>59.126</v>
      </c>
      <c r="I33" s="3">
        <v>10.941</v>
      </c>
      <c r="J33" s="3">
        <v>17.977</v>
      </c>
      <c r="K33" s="3">
        <v>264.135</v>
      </c>
      <c r="L33" s="3">
        <v>6.209</v>
      </c>
      <c r="M33" s="3">
        <v>0</v>
      </c>
      <c r="N33" s="3">
        <v>1013.916624</v>
      </c>
      <c r="O33" s="3">
        <v>8.012</v>
      </c>
      <c r="P33" s="3">
        <f t="shared" si="0"/>
        <v>1406.470312</v>
      </c>
      <c r="Q33" s="19" t="s">
        <v>31</v>
      </c>
      <c r="R33" s="1" t="s">
        <v>91</v>
      </c>
      <c r="S33" s="8" t="s">
        <v>31</v>
      </c>
      <c r="T33" s="19" t="s">
        <v>31</v>
      </c>
      <c r="U33" s="3">
        <v>2.1493394183357</v>
      </c>
    </row>
    <row r="34" ht="17.5" spans="1:21">
      <c r="A34" s="2" t="s">
        <v>94</v>
      </c>
      <c r="B34" s="1" t="s">
        <v>95</v>
      </c>
      <c r="C34" s="3">
        <v>29.95</v>
      </c>
      <c r="D34" s="3">
        <v>101.96</v>
      </c>
      <c r="E34" s="18">
        <v>77</v>
      </c>
      <c r="F34" s="3">
        <v>7.86</v>
      </c>
      <c r="G34" s="3">
        <v>314.231</v>
      </c>
      <c r="H34" s="3">
        <v>40.532</v>
      </c>
      <c r="I34" s="3">
        <v>15.282</v>
      </c>
      <c r="J34" s="3">
        <v>56.605</v>
      </c>
      <c r="K34" s="3">
        <v>211.954</v>
      </c>
      <c r="L34" s="3">
        <v>48.413</v>
      </c>
      <c r="M34" s="3">
        <v>92.826</v>
      </c>
      <c r="N34" s="3">
        <v>554.35458</v>
      </c>
      <c r="O34" s="3">
        <v>0.136</v>
      </c>
      <c r="P34" s="3">
        <f t="shared" si="0"/>
        <v>1057.15629</v>
      </c>
      <c r="Q34" s="18">
        <v>79.9</v>
      </c>
      <c r="R34" s="1" t="s">
        <v>91</v>
      </c>
      <c r="S34" s="8">
        <v>-16.1</v>
      </c>
      <c r="T34" s="19">
        <v>-119.2</v>
      </c>
      <c r="U34" s="3">
        <v>-0.47152625935106</v>
      </c>
    </row>
    <row r="35" ht="17.5" spans="1:21">
      <c r="A35" s="2" t="s">
        <v>96</v>
      </c>
      <c r="B35" s="1" t="s">
        <v>97</v>
      </c>
      <c r="C35" s="3">
        <v>29.39</v>
      </c>
      <c r="D35" s="3">
        <v>101.96</v>
      </c>
      <c r="E35" s="18">
        <v>40.3</v>
      </c>
      <c r="F35" s="3">
        <v>6.57</v>
      </c>
      <c r="G35" s="3">
        <v>90.949</v>
      </c>
      <c r="H35" s="3">
        <v>11.587</v>
      </c>
      <c r="I35" s="3">
        <v>16.113</v>
      </c>
      <c r="J35" s="3">
        <v>95.374</v>
      </c>
      <c r="K35" s="3">
        <v>22.021</v>
      </c>
      <c r="L35" s="3">
        <v>27.22</v>
      </c>
      <c r="M35" s="3">
        <v>0</v>
      </c>
      <c r="N35" s="3">
        <v>527.78664</v>
      </c>
      <c r="O35" s="3">
        <v>0.694</v>
      </c>
      <c r="P35" s="3">
        <f t="shared" si="0"/>
        <v>527.85132</v>
      </c>
      <c r="Q35" s="18">
        <v>27.6</v>
      </c>
      <c r="R35" s="1" t="s">
        <v>37</v>
      </c>
      <c r="S35" s="8">
        <v>-14.6</v>
      </c>
      <c r="T35" s="19">
        <v>-105.8</v>
      </c>
      <c r="U35" s="3">
        <v>1.26654344613299</v>
      </c>
    </row>
    <row r="36" ht="17.5" spans="1:21">
      <c r="A36" s="2" t="s">
        <v>98</v>
      </c>
      <c r="B36" s="1" t="s">
        <v>99</v>
      </c>
      <c r="C36" s="3">
        <v>29.59</v>
      </c>
      <c r="D36" s="3">
        <v>102.03</v>
      </c>
      <c r="E36" s="18">
        <v>72</v>
      </c>
      <c r="F36" s="3">
        <v>7.18</v>
      </c>
      <c r="G36" s="3">
        <v>167.188</v>
      </c>
      <c r="H36" s="3">
        <v>21.984</v>
      </c>
      <c r="I36" s="3">
        <v>4.996</v>
      </c>
      <c r="J36" s="3">
        <v>48.099</v>
      </c>
      <c r="K36" s="3">
        <v>37.151</v>
      </c>
      <c r="L36" s="3">
        <v>60.201</v>
      </c>
      <c r="M36" s="3">
        <v>18.4392</v>
      </c>
      <c r="N36" s="3">
        <v>409.53936</v>
      </c>
      <c r="O36" s="3">
        <v>0.331</v>
      </c>
      <c r="P36" s="3">
        <f t="shared" si="0"/>
        <v>563.15888</v>
      </c>
      <c r="Q36" s="18">
        <v>53.8</v>
      </c>
      <c r="R36" s="1" t="s">
        <v>37</v>
      </c>
      <c r="S36" s="8">
        <v>-12.38</v>
      </c>
      <c r="T36" s="19">
        <v>-88.3</v>
      </c>
      <c r="U36" s="3">
        <v>2.51272459993553</v>
      </c>
    </row>
    <row r="37" ht="17.5" spans="1:21">
      <c r="A37" s="2" t="s">
        <v>100</v>
      </c>
      <c r="B37" s="1" t="s">
        <v>101</v>
      </c>
      <c r="C37" s="3">
        <v>29.75</v>
      </c>
      <c r="D37" s="3">
        <v>102.06</v>
      </c>
      <c r="E37" s="18">
        <v>40</v>
      </c>
      <c r="F37" s="3">
        <v>7.4</v>
      </c>
      <c r="G37" s="3">
        <v>304.194</v>
      </c>
      <c r="H37" s="3">
        <v>9.472</v>
      </c>
      <c r="I37" s="3">
        <v>8.98</v>
      </c>
      <c r="J37" s="3">
        <v>25.445</v>
      </c>
      <c r="K37" s="3">
        <v>86.64</v>
      </c>
      <c r="L37" s="3">
        <v>12.066</v>
      </c>
      <c r="M37" s="3">
        <v>0</v>
      </c>
      <c r="N37" s="3">
        <v>736.16142</v>
      </c>
      <c r="O37" s="3">
        <v>0</v>
      </c>
      <c r="P37" s="3">
        <f t="shared" si="0"/>
        <v>814.87771</v>
      </c>
      <c r="Q37" s="18">
        <v>17</v>
      </c>
      <c r="R37" s="1" t="s">
        <v>37</v>
      </c>
      <c r="S37" s="8">
        <v>-11.7</v>
      </c>
      <c r="T37" s="19">
        <v>-86.8</v>
      </c>
      <c r="U37" s="3">
        <v>1.20518403750823</v>
      </c>
    </row>
    <row r="38" ht="17.5" spans="1:21">
      <c r="A38" s="2" t="s">
        <v>102</v>
      </c>
      <c r="B38" s="1" t="s">
        <v>103</v>
      </c>
      <c r="C38" s="3">
        <v>29.62</v>
      </c>
      <c r="D38" s="3">
        <v>102.11</v>
      </c>
      <c r="E38" s="18">
        <v>41.8</v>
      </c>
      <c r="F38" s="3">
        <v>7.23</v>
      </c>
      <c r="G38" s="3">
        <v>47.249</v>
      </c>
      <c r="H38" s="3">
        <v>6.462</v>
      </c>
      <c r="I38" s="3">
        <v>5.594</v>
      </c>
      <c r="J38" s="3">
        <v>93.522</v>
      </c>
      <c r="K38" s="3">
        <v>3.45</v>
      </c>
      <c r="L38" s="3">
        <v>154.359</v>
      </c>
      <c r="M38" s="3">
        <v>0</v>
      </c>
      <c r="N38" s="3">
        <v>230.7264</v>
      </c>
      <c r="O38" s="3">
        <v>1.066</v>
      </c>
      <c r="P38" s="3">
        <f t="shared" si="0"/>
        <v>427.0652</v>
      </c>
      <c r="Q38" s="18">
        <v>27.3</v>
      </c>
      <c r="R38" s="1" t="s">
        <v>46</v>
      </c>
      <c r="S38" s="8" t="s">
        <v>31</v>
      </c>
      <c r="T38" s="19" t="s">
        <v>31</v>
      </c>
      <c r="U38" s="3">
        <v>0.862441174230636</v>
      </c>
    </row>
    <row r="39" ht="17.5" spans="1:21">
      <c r="A39" s="2" t="s">
        <v>104</v>
      </c>
      <c r="B39" s="1" t="s">
        <v>105</v>
      </c>
      <c r="C39" s="3">
        <v>29.62</v>
      </c>
      <c r="D39" s="3">
        <v>102.11</v>
      </c>
      <c r="E39" s="18">
        <v>57</v>
      </c>
      <c r="F39" s="3">
        <v>7.07</v>
      </c>
      <c r="G39" s="3">
        <v>119.628</v>
      </c>
      <c r="H39" s="3">
        <v>11.317</v>
      </c>
      <c r="I39" s="3">
        <v>17.73</v>
      </c>
      <c r="J39" s="3">
        <v>54.097</v>
      </c>
      <c r="K39" s="3">
        <v>15.619</v>
      </c>
      <c r="L39" s="3">
        <v>71.653</v>
      </c>
      <c r="M39" s="3">
        <v>0</v>
      </c>
      <c r="N39" s="3">
        <v>400.1661</v>
      </c>
      <c r="O39" s="3">
        <v>0.681</v>
      </c>
      <c r="P39" s="3">
        <f t="shared" si="0"/>
        <v>490.80805</v>
      </c>
      <c r="Q39" s="19" t="s">
        <v>31</v>
      </c>
      <c r="R39" s="1" t="s">
        <v>37</v>
      </c>
      <c r="S39" s="8">
        <v>-11.5</v>
      </c>
      <c r="T39" s="19">
        <v>-82.4</v>
      </c>
      <c r="U39" s="3">
        <v>3.21803223281317</v>
      </c>
    </row>
    <row r="40" ht="17.5" spans="1:21">
      <c r="A40" s="2" t="s">
        <v>106</v>
      </c>
      <c r="B40" s="1" t="s">
        <v>107</v>
      </c>
      <c r="C40" s="3">
        <v>29.54</v>
      </c>
      <c r="D40" s="3">
        <v>102.14</v>
      </c>
      <c r="E40" s="18">
        <v>57.2</v>
      </c>
      <c r="F40" s="3">
        <v>7.41</v>
      </c>
      <c r="G40" s="3">
        <v>117.666</v>
      </c>
      <c r="H40" s="3">
        <v>10.379</v>
      </c>
      <c r="I40" s="3">
        <v>19.279</v>
      </c>
      <c r="J40" s="3">
        <v>54.987</v>
      </c>
      <c r="K40" s="3">
        <v>15.404</v>
      </c>
      <c r="L40" s="3">
        <v>55.026</v>
      </c>
      <c r="M40" s="3">
        <v>36.3</v>
      </c>
      <c r="N40" s="3">
        <v>371.734</v>
      </c>
      <c r="O40" s="3">
        <v>0</v>
      </c>
      <c r="P40" s="3">
        <f t="shared" si="0"/>
        <v>494.908</v>
      </c>
      <c r="Q40" s="18">
        <v>20.1</v>
      </c>
      <c r="R40" s="1" t="s">
        <v>37</v>
      </c>
      <c r="S40" s="8">
        <v>-11.4</v>
      </c>
      <c r="T40" s="19">
        <v>-84.7</v>
      </c>
      <c r="U40" s="3">
        <v>2.29210594293603</v>
      </c>
    </row>
    <row r="41" ht="17.5" spans="1:21">
      <c r="A41" s="2" t="s">
        <v>108</v>
      </c>
      <c r="B41" s="1" t="s">
        <v>109</v>
      </c>
      <c r="C41" s="3">
        <v>29.39</v>
      </c>
      <c r="D41" s="3">
        <v>102.1</v>
      </c>
      <c r="E41" s="18">
        <v>65.3</v>
      </c>
      <c r="F41" s="3">
        <v>7.07</v>
      </c>
      <c r="G41" s="3">
        <v>302.997</v>
      </c>
      <c r="H41" s="3">
        <v>40.109</v>
      </c>
      <c r="I41" s="3">
        <v>37.379</v>
      </c>
      <c r="J41" s="3">
        <v>126.537</v>
      </c>
      <c r="K41" s="3">
        <v>171.828</v>
      </c>
      <c r="L41" s="3">
        <v>158.967</v>
      </c>
      <c r="M41" s="3">
        <v>0</v>
      </c>
      <c r="N41" s="3">
        <v>909.92724</v>
      </c>
      <c r="O41" s="3">
        <v>0.044</v>
      </c>
      <c r="P41" s="3">
        <f t="shared" si="0"/>
        <v>1292.82462</v>
      </c>
      <c r="Q41" s="18">
        <v>14.1</v>
      </c>
      <c r="R41" s="1" t="s">
        <v>91</v>
      </c>
      <c r="S41" s="8">
        <v>-12.8</v>
      </c>
      <c r="T41" s="19">
        <v>-86.6</v>
      </c>
      <c r="U41" s="3">
        <v>0.614808084714886</v>
      </c>
    </row>
    <row r="42" ht="17.5" spans="1:21">
      <c r="A42" s="2" t="s">
        <v>110</v>
      </c>
      <c r="B42" s="1" t="s">
        <v>111</v>
      </c>
      <c r="C42" s="3">
        <v>29.49</v>
      </c>
      <c r="D42" s="3">
        <v>102.14</v>
      </c>
      <c r="E42" s="18">
        <v>49.3</v>
      </c>
      <c r="F42" s="3">
        <v>7.93</v>
      </c>
      <c r="G42" s="3">
        <v>115.402</v>
      </c>
      <c r="H42" s="3">
        <v>12.932</v>
      </c>
      <c r="I42" s="3">
        <v>6.002</v>
      </c>
      <c r="J42" s="3">
        <v>53.617</v>
      </c>
      <c r="K42" s="3">
        <v>7.353</v>
      </c>
      <c r="L42" s="3">
        <v>204.627</v>
      </c>
      <c r="M42" s="3">
        <v>14.8932</v>
      </c>
      <c r="N42" s="3">
        <v>170.88174</v>
      </c>
      <c r="O42" s="3">
        <v>7.16</v>
      </c>
      <c r="P42" s="3">
        <f t="shared" si="0"/>
        <v>507.42707</v>
      </c>
      <c r="Q42" s="18">
        <v>45</v>
      </c>
      <c r="R42" s="1" t="s">
        <v>112</v>
      </c>
      <c r="S42" s="8">
        <v>-12.8</v>
      </c>
      <c r="T42" s="19">
        <v>-90.6</v>
      </c>
      <c r="U42" s="3">
        <v>1.96981158897436</v>
      </c>
    </row>
    <row r="43" ht="17.5" spans="1:21">
      <c r="A43" s="2" t="s">
        <v>113</v>
      </c>
      <c r="B43" s="1" t="s">
        <v>114</v>
      </c>
      <c r="C43" s="3">
        <v>29.44</v>
      </c>
      <c r="D43" s="3">
        <v>102.22</v>
      </c>
      <c r="E43" s="18">
        <v>35.8</v>
      </c>
      <c r="F43" s="3">
        <v>8.85</v>
      </c>
      <c r="G43" s="3">
        <v>36.786</v>
      </c>
      <c r="H43" s="3">
        <v>1.308</v>
      </c>
      <c r="I43" s="3">
        <v>0.305</v>
      </c>
      <c r="J43" s="3">
        <v>8.463</v>
      </c>
      <c r="K43" s="3">
        <v>2.769</v>
      </c>
      <c r="L43" s="3">
        <v>12.34</v>
      </c>
      <c r="M43" s="3">
        <v>0</v>
      </c>
      <c r="N43" s="3">
        <v>89.914</v>
      </c>
      <c r="O43" s="3">
        <v>6.525</v>
      </c>
      <c r="P43" s="3">
        <f t="shared" si="0"/>
        <v>113.453</v>
      </c>
      <c r="Q43" s="18">
        <v>11.9</v>
      </c>
      <c r="R43" s="1" t="s">
        <v>37</v>
      </c>
      <c r="S43" s="8" t="s">
        <v>31</v>
      </c>
      <c r="T43" s="19" t="s">
        <v>31</v>
      </c>
      <c r="U43" s="3">
        <v>2.09182461367617</v>
      </c>
    </row>
    <row r="44" ht="17.5" spans="1:21">
      <c r="A44" s="2" t="s">
        <v>115</v>
      </c>
      <c r="B44" s="1" t="s">
        <v>116</v>
      </c>
      <c r="C44" s="3">
        <v>29.0247222222222</v>
      </c>
      <c r="D44" s="3">
        <v>102.391111111111</v>
      </c>
      <c r="E44" s="18">
        <v>57</v>
      </c>
      <c r="F44" s="3">
        <v>9.1</v>
      </c>
      <c r="G44" s="3">
        <v>111.87</v>
      </c>
      <c r="H44" s="3">
        <v>8.392</v>
      </c>
      <c r="I44" s="3">
        <v>0.575</v>
      </c>
      <c r="J44" s="3">
        <v>5.477</v>
      </c>
      <c r="K44" s="3">
        <v>47.816</v>
      </c>
      <c r="L44" s="3">
        <v>30.507</v>
      </c>
      <c r="M44" s="3">
        <v>10.6</v>
      </c>
      <c r="N44" s="3">
        <v>102.966</v>
      </c>
      <c r="O44" s="3">
        <v>0</v>
      </c>
      <c r="P44" s="3">
        <f t="shared" si="0"/>
        <v>266.72</v>
      </c>
      <c r="Q44" s="18">
        <v>44.3</v>
      </c>
      <c r="R44" s="1" t="s">
        <v>117</v>
      </c>
      <c r="S44" s="8">
        <v>-14.5</v>
      </c>
      <c r="T44" s="19">
        <v>-108.4</v>
      </c>
      <c r="U44" s="3">
        <v>7.30566284851229</v>
      </c>
    </row>
    <row r="45" ht="17.5" spans="1:21">
      <c r="A45" s="2" t="s">
        <v>118</v>
      </c>
      <c r="B45" s="1" t="s">
        <v>119</v>
      </c>
      <c r="C45" s="3">
        <v>28.998694</v>
      </c>
      <c r="D45" s="3">
        <v>102.281213</v>
      </c>
      <c r="E45" s="18">
        <v>14</v>
      </c>
      <c r="F45" s="3">
        <v>6.9</v>
      </c>
      <c r="G45" s="3">
        <v>560.108</v>
      </c>
      <c r="H45" s="3">
        <v>45.867</v>
      </c>
      <c r="I45" s="3">
        <v>188.568</v>
      </c>
      <c r="J45" s="3">
        <v>384.434</v>
      </c>
      <c r="K45" s="3">
        <v>826.468</v>
      </c>
      <c r="L45" s="3">
        <v>183.587</v>
      </c>
      <c r="M45" s="3">
        <v>0.52</v>
      </c>
      <c r="N45" s="3">
        <v>2059.299</v>
      </c>
      <c r="O45" s="3">
        <v>9.141</v>
      </c>
      <c r="P45" s="3">
        <f t="shared" si="0"/>
        <v>3228.3425</v>
      </c>
      <c r="Q45" s="18">
        <v>42.7</v>
      </c>
      <c r="R45" s="1" t="s">
        <v>120</v>
      </c>
      <c r="S45" s="8">
        <v>-14.8</v>
      </c>
      <c r="T45" s="19">
        <v>-102.4</v>
      </c>
      <c r="U45" s="3">
        <v>-0.232517647865089</v>
      </c>
    </row>
    <row r="46" ht="17.5" spans="1:21">
      <c r="A46" s="2" t="s">
        <v>121</v>
      </c>
      <c r="B46" s="1" t="s">
        <v>122</v>
      </c>
      <c r="C46" s="3">
        <v>28.327486</v>
      </c>
      <c r="D46" s="3">
        <v>102.366126</v>
      </c>
      <c r="E46" s="18">
        <v>41</v>
      </c>
      <c r="F46" s="3">
        <v>8.8</v>
      </c>
      <c r="G46" s="3">
        <v>47.392</v>
      </c>
      <c r="H46" s="3">
        <v>33.503</v>
      </c>
      <c r="I46" s="3">
        <v>44.565</v>
      </c>
      <c r="J46" s="3">
        <v>116.08</v>
      </c>
      <c r="K46" s="3">
        <v>17.364</v>
      </c>
      <c r="L46" s="3">
        <v>181.01</v>
      </c>
      <c r="M46" s="3">
        <v>17.4</v>
      </c>
      <c r="N46" s="3">
        <v>210.1964</v>
      </c>
      <c r="O46" s="3">
        <v>1.315</v>
      </c>
      <c r="P46" s="3">
        <f t="shared" si="0"/>
        <v>563.7272</v>
      </c>
      <c r="Q46" s="18">
        <v>22.9</v>
      </c>
      <c r="R46" s="1" t="s">
        <v>123</v>
      </c>
      <c r="S46" s="8">
        <v>-13.7</v>
      </c>
      <c r="T46" s="19">
        <v>-100.4</v>
      </c>
      <c r="U46" s="3">
        <v>9.9546713188715</v>
      </c>
    </row>
    <row r="47" ht="17.5" spans="1:21">
      <c r="A47" s="2" t="s">
        <v>124</v>
      </c>
      <c r="B47" s="1" t="s">
        <v>125</v>
      </c>
      <c r="C47" s="3">
        <v>28.3273888888889</v>
      </c>
      <c r="D47" s="3">
        <v>102.372916666667</v>
      </c>
      <c r="E47" s="18">
        <v>41.2</v>
      </c>
      <c r="F47" s="3">
        <v>7.4</v>
      </c>
      <c r="G47" s="3">
        <v>51.029</v>
      </c>
      <c r="H47" s="3">
        <v>37.266</v>
      </c>
      <c r="I47" s="3">
        <v>58.462</v>
      </c>
      <c r="J47" s="3">
        <v>22.605</v>
      </c>
      <c r="K47" s="3">
        <v>17.6</v>
      </c>
      <c r="L47" s="3">
        <v>192.087</v>
      </c>
      <c r="M47" s="3">
        <v>0.93</v>
      </c>
      <c r="N47" s="3">
        <v>194.59</v>
      </c>
      <c r="O47" s="3">
        <v>0.141</v>
      </c>
      <c r="P47" s="3">
        <f t="shared" si="0"/>
        <v>477.415</v>
      </c>
      <c r="Q47" s="18">
        <v>13</v>
      </c>
      <c r="R47" s="1" t="s">
        <v>123</v>
      </c>
      <c r="S47" s="8">
        <v>-13.7</v>
      </c>
      <c r="T47" s="19">
        <v>-100.5</v>
      </c>
      <c r="U47" s="3">
        <v>4.30668453743397</v>
      </c>
    </row>
    <row r="48" ht="17.5" spans="1:21">
      <c r="A48" s="2" t="s">
        <v>126</v>
      </c>
      <c r="B48" s="1" t="s">
        <v>127</v>
      </c>
      <c r="C48" s="3">
        <v>28.0886111111111</v>
      </c>
      <c r="D48" s="3">
        <v>102.242222222222</v>
      </c>
      <c r="E48" s="18">
        <v>47.3</v>
      </c>
      <c r="F48" s="3">
        <v>6.8</v>
      </c>
      <c r="G48" s="3">
        <v>208.265</v>
      </c>
      <c r="H48" s="3">
        <v>49.701</v>
      </c>
      <c r="I48" s="3">
        <v>29.277</v>
      </c>
      <c r="J48" s="3">
        <v>35.952</v>
      </c>
      <c r="K48" s="3">
        <v>142.727</v>
      </c>
      <c r="L48" s="3">
        <v>293.71</v>
      </c>
      <c r="M48" s="3">
        <v>0.18</v>
      </c>
      <c r="N48" s="3">
        <v>234.179</v>
      </c>
      <c r="O48" s="3">
        <v>0</v>
      </c>
      <c r="P48" s="3">
        <f t="shared" si="0"/>
        <v>876.9015</v>
      </c>
      <c r="Q48" s="18">
        <v>11.3</v>
      </c>
      <c r="R48" s="1" t="s">
        <v>128</v>
      </c>
      <c r="S48" s="8">
        <v>-14.8</v>
      </c>
      <c r="T48" s="19">
        <v>-113.4</v>
      </c>
      <c r="U48" s="3">
        <v>1.01974344948607</v>
      </c>
    </row>
    <row r="49" ht="17.5" spans="1:21">
      <c r="A49" s="2" t="s">
        <v>129</v>
      </c>
      <c r="B49" s="1" t="s">
        <v>130</v>
      </c>
      <c r="C49" s="3">
        <v>27.8868333333333</v>
      </c>
      <c r="D49" s="3">
        <v>102.310722222222</v>
      </c>
      <c r="E49" s="18">
        <v>39</v>
      </c>
      <c r="F49" s="3">
        <v>8.1</v>
      </c>
      <c r="G49" s="3">
        <v>1264.268091528</v>
      </c>
      <c r="H49" s="3">
        <v>10.629116636</v>
      </c>
      <c r="I49" s="3">
        <v>78.72995445</v>
      </c>
      <c r="J49" s="3">
        <v>201.878156214</v>
      </c>
      <c r="K49" s="3">
        <v>130.0130396</v>
      </c>
      <c r="L49" s="3">
        <v>4260.9931686</v>
      </c>
      <c r="M49" s="3">
        <v>0.48</v>
      </c>
      <c r="N49" s="3">
        <v>768.6</v>
      </c>
      <c r="O49" s="19" t="s">
        <v>31</v>
      </c>
      <c r="P49" s="3">
        <f>G49+H49+I49+J49+K49+L49+M49+0.5*N49</f>
        <v>6331.291527028</v>
      </c>
      <c r="Q49" s="18">
        <v>19.8</v>
      </c>
      <c r="R49" s="1" t="s">
        <v>131</v>
      </c>
      <c r="S49" s="8"/>
      <c r="T49" s="19"/>
      <c r="U49" s="3">
        <v>-9.36835446348518</v>
      </c>
    </row>
    <row r="50" ht="17.5" spans="1:21">
      <c r="A50" s="2" t="s">
        <v>132</v>
      </c>
      <c r="B50" s="1" t="s">
        <v>133</v>
      </c>
      <c r="C50" s="3">
        <v>27.871584</v>
      </c>
      <c r="D50" s="3">
        <v>102.317197</v>
      </c>
      <c r="E50" s="18">
        <v>42</v>
      </c>
      <c r="F50" s="3">
        <v>8.8</v>
      </c>
      <c r="G50" s="3">
        <v>488.531</v>
      </c>
      <c r="H50" s="3">
        <v>8.88</v>
      </c>
      <c r="I50" s="3">
        <v>55.729</v>
      </c>
      <c r="J50" s="3">
        <v>156.188</v>
      </c>
      <c r="K50" s="3">
        <v>76.148</v>
      </c>
      <c r="L50" s="3">
        <v>1811.432</v>
      </c>
      <c r="M50" s="3">
        <v>6.52</v>
      </c>
      <c r="N50" s="3">
        <v>13.60666</v>
      </c>
      <c r="O50" s="3">
        <v>0</v>
      </c>
      <c r="P50" s="3">
        <f t="shared" si="0"/>
        <v>2610.23133</v>
      </c>
      <c r="Q50" s="18">
        <v>23.5</v>
      </c>
      <c r="R50" s="1" t="s">
        <v>131</v>
      </c>
      <c r="S50" s="8">
        <v>-14.2</v>
      </c>
      <c r="T50" s="19">
        <v>-108.5</v>
      </c>
      <c r="U50" s="3">
        <v>-4.3113344495247</v>
      </c>
    </row>
    <row r="51" ht="17.5" spans="1:21">
      <c r="A51" s="2" t="s">
        <v>134</v>
      </c>
      <c r="B51" s="1" t="s">
        <v>135</v>
      </c>
      <c r="C51" s="3">
        <v>27.75045</v>
      </c>
      <c r="D51" s="3">
        <v>102.15494</v>
      </c>
      <c r="E51" s="18">
        <v>37.4</v>
      </c>
      <c r="F51" s="3">
        <v>9.5</v>
      </c>
      <c r="G51" s="3">
        <v>50.561</v>
      </c>
      <c r="H51" s="3">
        <v>2.839</v>
      </c>
      <c r="I51" s="3">
        <v>0.167</v>
      </c>
      <c r="J51" s="3">
        <v>4.305</v>
      </c>
      <c r="K51" s="3">
        <v>7.016</v>
      </c>
      <c r="L51" s="3">
        <v>6.244</v>
      </c>
      <c r="M51" s="3">
        <v>15.9</v>
      </c>
      <c r="N51" s="3">
        <v>94.93552</v>
      </c>
      <c r="O51" s="3">
        <v>0.19</v>
      </c>
      <c r="P51" s="3">
        <f t="shared" si="0"/>
        <v>134.68976</v>
      </c>
      <c r="Q51" s="18">
        <v>18.3</v>
      </c>
      <c r="R51" s="1" t="s">
        <v>37</v>
      </c>
      <c r="S51" s="8">
        <v>-15.6</v>
      </c>
      <c r="T51" s="19">
        <v>-118.1</v>
      </c>
      <c r="U51" s="3">
        <v>0.845617430018218</v>
      </c>
    </row>
    <row r="52" ht="17.5" spans="1:21">
      <c r="A52" s="2" t="s">
        <v>136</v>
      </c>
      <c r="B52" s="1" t="s">
        <v>137</v>
      </c>
      <c r="C52" s="3">
        <v>27.481148</v>
      </c>
      <c r="D52" s="3">
        <v>102.440311</v>
      </c>
      <c r="E52" s="18">
        <v>34</v>
      </c>
      <c r="F52" s="3">
        <v>7.8</v>
      </c>
      <c r="G52" s="3">
        <v>6.14</v>
      </c>
      <c r="H52" s="3">
        <v>2.564</v>
      </c>
      <c r="I52" s="3">
        <v>23.238</v>
      </c>
      <c r="J52" s="3">
        <v>44.631</v>
      </c>
      <c r="K52" s="3">
        <v>1.244</v>
      </c>
      <c r="L52" s="3">
        <v>31.195</v>
      </c>
      <c r="M52" s="3">
        <v>0.73</v>
      </c>
      <c r="N52" s="3">
        <v>224.785</v>
      </c>
      <c r="O52" s="19" t="s">
        <v>31</v>
      </c>
      <c r="P52" s="3">
        <f>G52+H52+I52+J52+K52+L52+M52+0.5*N52</f>
        <v>222.1345</v>
      </c>
      <c r="Q52" s="18">
        <v>14.5</v>
      </c>
      <c r="R52" s="1" t="s">
        <v>138</v>
      </c>
      <c r="S52" s="8">
        <v>-14.3</v>
      </c>
      <c r="T52" s="19">
        <v>-96.4</v>
      </c>
      <c r="U52" s="3">
        <v>0.598529699539295</v>
      </c>
    </row>
    <row r="53" ht="17.5" spans="1:21">
      <c r="A53" s="2" t="s">
        <v>139</v>
      </c>
      <c r="B53" s="1" t="s">
        <v>140</v>
      </c>
      <c r="C53" s="3">
        <v>27.4008333333333</v>
      </c>
      <c r="D53" s="3">
        <v>102.538333333333</v>
      </c>
      <c r="E53" s="18">
        <v>43.3</v>
      </c>
      <c r="F53" s="3">
        <v>8.4</v>
      </c>
      <c r="G53" s="3">
        <v>36.737</v>
      </c>
      <c r="H53" s="3">
        <v>17.713</v>
      </c>
      <c r="I53" s="3">
        <v>36.288</v>
      </c>
      <c r="J53" s="3">
        <v>44.593</v>
      </c>
      <c r="K53" s="3">
        <v>5.783</v>
      </c>
      <c r="L53" s="3">
        <v>245.347</v>
      </c>
      <c r="M53" s="3">
        <v>4.42</v>
      </c>
      <c r="N53" s="3">
        <v>106.018</v>
      </c>
      <c r="O53" s="3">
        <v>0.379</v>
      </c>
      <c r="P53" s="3">
        <f t="shared" si="0"/>
        <v>444.269</v>
      </c>
      <c r="Q53" s="18">
        <v>18.5</v>
      </c>
      <c r="R53" s="1" t="s">
        <v>141</v>
      </c>
      <c r="S53" s="8">
        <v>-13.6</v>
      </c>
      <c r="T53" s="19">
        <v>-100.7</v>
      </c>
      <c r="U53" s="3">
        <v>0.481474944669911</v>
      </c>
    </row>
    <row r="54" ht="17.5" spans="1:21">
      <c r="A54" s="2" t="s">
        <v>142</v>
      </c>
      <c r="B54" s="1" t="s">
        <v>143</v>
      </c>
      <c r="C54" s="3">
        <v>27.25477</v>
      </c>
      <c r="D54" s="3">
        <v>102.63908</v>
      </c>
      <c r="E54" s="18">
        <v>57.9</v>
      </c>
      <c r="F54" s="3">
        <v>7.5</v>
      </c>
      <c r="G54" s="3">
        <v>113.556</v>
      </c>
      <c r="H54" s="3">
        <v>26.748</v>
      </c>
      <c r="I54" s="3">
        <v>78.278</v>
      </c>
      <c r="J54" s="3">
        <v>215.509</v>
      </c>
      <c r="K54" s="3">
        <v>43.9</v>
      </c>
      <c r="L54" s="3">
        <v>1175.417</v>
      </c>
      <c r="M54" s="3">
        <v>0.98</v>
      </c>
      <c r="N54" s="3">
        <v>65.087</v>
      </c>
      <c r="O54" s="3">
        <v>1.652</v>
      </c>
      <c r="P54" s="3">
        <f t="shared" si="0"/>
        <v>1688.5835</v>
      </c>
      <c r="Q54" s="18">
        <v>21.2</v>
      </c>
      <c r="R54" s="1" t="s">
        <v>144</v>
      </c>
      <c r="S54" s="8">
        <v>-13.9</v>
      </c>
      <c r="T54" s="19">
        <v>-102.1</v>
      </c>
      <c r="U54" s="3">
        <v>-3.94706734749352</v>
      </c>
    </row>
    <row r="55" ht="17.5" spans="1:21">
      <c r="A55" s="2" t="s">
        <v>145</v>
      </c>
      <c r="B55" s="1" t="s">
        <v>146</v>
      </c>
      <c r="C55" s="3">
        <v>27.21053</v>
      </c>
      <c r="D55" s="3">
        <v>102.5472</v>
      </c>
      <c r="E55" s="18">
        <v>41.3</v>
      </c>
      <c r="F55" s="3">
        <v>7.5</v>
      </c>
      <c r="G55" s="3">
        <v>3.555</v>
      </c>
      <c r="H55" s="3">
        <v>2.258</v>
      </c>
      <c r="I55" s="3">
        <v>16.042</v>
      </c>
      <c r="J55" s="3">
        <v>35.825</v>
      </c>
      <c r="K55" s="3">
        <v>0.68</v>
      </c>
      <c r="L55" s="3">
        <v>22.565</v>
      </c>
      <c r="M55" s="3">
        <v>0.29</v>
      </c>
      <c r="N55" s="3">
        <v>110.005</v>
      </c>
      <c r="O55" s="3">
        <v>1.073</v>
      </c>
      <c r="P55" s="3">
        <f t="shared" si="0"/>
        <v>137.2905</v>
      </c>
      <c r="Q55" s="18">
        <v>25.3</v>
      </c>
      <c r="R55" s="1" t="s">
        <v>138</v>
      </c>
      <c r="S55" s="8">
        <v>-13.7</v>
      </c>
      <c r="T55" s="19">
        <v>-98.1</v>
      </c>
      <c r="U55" s="3">
        <v>9.0187992041843</v>
      </c>
    </row>
    <row r="56" ht="17.5" spans="1:21">
      <c r="A56" s="2" t="s">
        <v>147</v>
      </c>
      <c r="B56" s="1" t="s">
        <v>148</v>
      </c>
      <c r="C56" s="3">
        <v>27.00457</v>
      </c>
      <c r="D56" s="3">
        <v>102.76877</v>
      </c>
      <c r="E56" s="18">
        <v>46.2</v>
      </c>
      <c r="F56" s="3">
        <v>7.2</v>
      </c>
      <c r="G56" s="3">
        <v>88.521</v>
      </c>
      <c r="H56" s="3">
        <v>40.003</v>
      </c>
      <c r="I56" s="3">
        <v>45.667</v>
      </c>
      <c r="J56" s="3">
        <v>65.474</v>
      </c>
      <c r="K56" s="3">
        <v>37.472</v>
      </c>
      <c r="L56" s="3">
        <v>458.999</v>
      </c>
      <c r="M56" s="3">
        <v>0.4</v>
      </c>
      <c r="N56" s="3">
        <v>99.308</v>
      </c>
      <c r="O56" s="3">
        <v>1.129</v>
      </c>
      <c r="P56" s="3">
        <f t="shared" si="0"/>
        <v>787.319</v>
      </c>
      <c r="Q56" s="18">
        <v>17.5</v>
      </c>
      <c r="R56" s="1" t="s">
        <v>149</v>
      </c>
      <c r="S56" s="8">
        <v>-11.5</v>
      </c>
      <c r="T56" s="19">
        <v>-83.7</v>
      </c>
      <c r="U56" s="3">
        <v>-0.668207858979592</v>
      </c>
    </row>
    <row r="57" ht="17.5" spans="1:21">
      <c r="A57" s="2" t="s">
        <v>150</v>
      </c>
      <c r="B57" s="1" t="s">
        <v>151</v>
      </c>
      <c r="C57" s="3">
        <v>26.9693611111111</v>
      </c>
      <c r="D57" s="3">
        <v>102.882166666667</v>
      </c>
      <c r="E57" s="18">
        <v>74.8</v>
      </c>
      <c r="F57" s="3">
        <v>7.1</v>
      </c>
      <c r="G57" s="3">
        <v>254.133</v>
      </c>
      <c r="H57" s="3">
        <v>62.687</v>
      </c>
      <c r="I57" s="3">
        <v>100.548</v>
      </c>
      <c r="J57" s="3">
        <v>180.17</v>
      </c>
      <c r="K57" s="3">
        <v>397.219</v>
      </c>
      <c r="L57" s="3">
        <v>1087.493</v>
      </c>
      <c r="M57" s="3">
        <v>0.63</v>
      </c>
      <c r="N57" s="3">
        <v>56.364</v>
      </c>
      <c r="O57" s="3">
        <v>0.118</v>
      </c>
      <c r="P57" s="3">
        <f t="shared" si="0"/>
        <v>2111.18</v>
      </c>
      <c r="Q57" s="18">
        <v>24.1</v>
      </c>
      <c r="R57" s="1" t="s">
        <v>152</v>
      </c>
      <c r="S57" s="8">
        <v>-13.6</v>
      </c>
      <c r="T57" s="19">
        <v>-98.9</v>
      </c>
      <c r="U57" s="3">
        <v>-3.66164340703338</v>
      </c>
    </row>
    <row r="58" ht="17.5" spans="1:21">
      <c r="A58" s="2" t="s">
        <v>153</v>
      </c>
      <c r="B58" s="1" t="s">
        <v>154</v>
      </c>
      <c r="C58" s="3">
        <v>26.79</v>
      </c>
      <c r="D58" s="3">
        <v>102.98</v>
      </c>
      <c r="E58" s="18">
        <v>46.6</v>
      </c>
      <c r="F58" s="3">
        <v>7.29</v>
      </c>
      <c r="G58" s="3">
        <v>33.9</v>
      </c>
      <c r="H58" s="3">
        <v>13.23</v>
      </c>
      <c r="I58" s="3">
        <v>40.65</v>
      </c>
      <c r="J58" s="3">
        <v>95.25</v>
      </c>
      <c r="K58" s="3">
        <v>45.51</v>
      </c>
      <c r="L58" s="3">
        <v>109.68</v>
      </c>
      <c r="M58" s="3">
        <v>54.2388</v>
      </c>
      <c r="N58" s="3">
        <v>263.54</v>
      </c>
      <c r="O58" s="3">
        <v>16.339</v>
      </c>
      <c r="P58" s="3">
        <f t="shared" si="0"/>
        <v>540.5678</v>
      </c>
      <c r="Q58" s="18">
        <v>19.1</v>
      </c>
      <c r="R58" s="1" t="s">
        <v>155</v>
      </c>
      <c r="S58" s="8">
        <v>-13.4</v>
      </c>
      <c r="T58" s="19">
        <v>-98.8</v>
      </c>
      <c r="U58" s="3">
        <v>0.0109222689407522</v>
      </c>
    </row>
    <row r="59" ht="17.5" spans="1:21">
      <c r="A59" s="2" t="s">
        <v>156</v>
      </c>
      <c r="B59" s="1" t="s">
        <v>157</v>
      </c>
      <c r="C59" s="3">
        <v>26.77959</v>
      </c>
      <c r="D59" s="3">
        <v>103.05185</v>
      </c>
      <c r="E59" s="18">
        <v>45.1</v>
      </c>
      <c r="F59" s="3">
        <v>6.49</v>
      </c>
      <c r="G59" s="3">
        <v>82.228</v>
      </c>
      <c r="H59" s="3">
        <v>27.585</v>
      </c>
      <c r="I59" s="3">
        <v>180.773</v>
      </c>
      <c r="J59" s="3">
        <v>44.212</v>
      </c>
      <c r="K59" s="3">
        <v>118.259</v>
      </c>
      <c r="L59" s="3">
        <v>822.851</v>
      </c>
      <c r="M59" s="3">
        <v>23.1</v>
      </c>
      <c r="N59" s="3">
        <v>163.053</v>
      </c>
      <c r="O59" s="3">
        <v>4.719</v>
      </c>
      <c r="P59" s="3">
        <f t="shared" si="0"/>
        <v>1385.2535</v>
      </c>
      <c r="Q59" s="18">
        <v>11.2</v>
      </c>
      <c r="R59" s="1" t="s">
        <v>158</v>
      </c>
      <c r="S59" s="8">
        <v>-13.4</v>
      </c>
      <c r="T59" s="19">
        <v>-98.8</v>
      </c>
      <c r="U59" s="3">
        <v>-2.67354339880827</v>
      </c>
    </row>
    <row r="60" ht="17.5" spans="1:21">
      <c r="A60" s="2" t="s">
        <v>159</v>
      </c>
      <c r="B60" s="1" t="s">
        <v>160</v>
      </c>
      <c r="C60" s="3">
        <v>26.70145</v>
      </c>
      <c r="D60" s="3">
        <v>103.01035</v>
      </c>
      <c r="E60" s="18">
        <v>32.8</v>
      </c>
      <c r="F60" s="3">
        <v>7</v>
      </c>
      <c r="G60" s="3">
        <v>13.76</v>
      </c>
      <c r="H60" s="3">
        <v>5.532</v>
      </c>
      <c r="I60" s="3">
        <v>43.671</v>
      </c>
      <c r="J60" s="3">
        <v>32.791</v>
      </c>
      <c r="K60" s="3">
        <v>2.645</v>
      </c>
      <c r="L60" s="3">
        <v>144.987</v>
      </c>
      <c r="M60" s="3">
        <v>24.42</v>
      </c>
      <c r="N60" s="3">
        <v>123.464</v>
      </c>
      <c r="O60" s="3">
        <v>1.815</v>
      </c>
      <c r="P60" s="3">
        <f t="shared" si="0"/>
        <v>331.353</v>
      </c>
      <c r="Q60" s="18">
        <v>7.37</v>
      </c>
      <c r="R60" s="1" t="s">
        <v>161</v>
      </c>
      <c r="S60" s="8">
        <v>-12.3</v>
      </c>
      <c r="T60" s="19">
        <v>-90</v>
      </c>
      <c r="U60" s="3">
        <v>0.236049176944095</v>
      </c>
    </row>
    <row r="61" ht="17.5" spans="1:21">
      <c r="A61" s="2" t="s">
        <v>162</v>
      </c>
      <c r="B61" s="1" t="s">
        <v>163</v>
      </c>
      <c r="C61" s="3">
        <v>26.53</v>
      </c>
      <c r="D61" s="3">
        <v>103.06</v>
      </c>
      <c r="E61" s="18">
        <v>39.9</v>
      </c>
      <c r="F61" s="3">
        <v>7.31</v>
      </c>
      <c r="G61" s="3">
        <v>15.435</v>
      </c>
      <c r="H61" s="3">
        <v>17.593</v>
      </c>
      <c r="I61" s="3">
        <v>95.161</v>
      </c>
      <c r="J61" s="3">
        <v>101.233</v>
      </c>
      <c r="K61" s="3">
        <v>4.313</v>
      </c>
      <c r="L61" s="3">
        <v>626.023</v>
      </c>
      <c r="M61" s="3">
        <v>11.88</v>
      </c>
      <c r="N61" s="3">
        <v>125.477</v>
      </c>
      <c r="O61" s="3">
        <v>0</v>
      </c>
      <c r="P61" s="3">
        <f t="shared" si="0"/>
        <v>934.3765</v>
      </c>
      <c r="Q61" s="18">
        <v>12</v>
      </c>
      <c r="R61" s="1" t="s">
        <v>164</v>
      </c>
      <c r="S61" s="8">
        <v>-12.1</v>
      </c>
      <c r="T61" s="19">
        <v>-95.2</v>
      </c>
      <c r="U61" s="3">
        <v>-2.52722426683959</v>
      </c>
    </row>
    <row r="62" ht="17.5" spans="1:21">
      <c r="A62" s="2" t="s">
        <v>165</v>
      </c>
      <c r="B62" s="1" t="s">
        <v>166</v>
      </c>
      <c r="C62" s="3">
        <v>26.368016</v>
      </c>
      <c r="D62" s="3">
        <v>103.093486</v>
      </c>
      <c r="E62" s="18">
        <v>38</v>
      </c>
      <c r="F62" s="3">
        <v>6.51</v>
      </c>
      <c r="G62" s="3">
        <v>126.088</v>
      </c>
      <c r="H62" s="3">
        <v>44.377</v>
      </c>
      <c r="I62" s="3">
        <v>120.246</v>
      </c>
      <c r="J62" s="3">
        <v>22.42</v>
      </c>
      <c r="K62" s="3">
        <v>135.944</v>
      </c>
      <c r="L62" s="3">
        <v>558.91</v>
      </c>
      <c r="M62" s="3">
        <v>25.08</v>
      </c>
      <c r="N62" s="3">
        <v>146.949</v>
      </c>
      <c r="O62" s="3">
        <v>2.391</v>
      </c>
      <c r="P62" s="3">
        <f t="shared" si="0"/>
        <v>1108.9305</v>
      </c>
      <c r="Q62" s="18">
        <v>11.4</v>
      </c>
      <c r="R62" s="1" t="s">
        <v>167</v>
      </c>
      <c r="S62" s="8">
        <v>-13.5</v>
      </c>
      <c r="T62" s="19">
        <v>-102.7</v>
      </c>
      <c r="U62" s="3">
        <v>-1.36297430879011</v>
      </c>
    </row>
    <row r="63" ht="17.5" spans="1:21">
      <c r="A63" s="2" t="s">
        <v>168</v>
      </c>
      <c r="B63" s="1" t="s">
        <v>169</v>
      </c>
      <c r="C63" s="3">
        <v>26.27325</v>
      </c>
      <c r="D63" s="3">
        <v>103.09078</v>
      </c>
      <c r="E63" s="18">
        <v>42.2</v>
      </c>
      <c r="F63" s="3">
        <v>7.06</v>
      </c>
      <c r="G63" s="3">
        <v>157.647</v>
      </c>
      <c r="H63" s="3">
        <v>17.569</v>
      </c>
      <c r="I63" s="3">
        <v>43.761</v>
      </c>
      <c r="J63" s="3">
        <v>9.293</v>
      </c>
      <c r="K63" s="3">
        <v>72.502</v>
      </c>
      <c r="L63" s="3">
        <v>158.93</v>
      </c>
      <c r="M63" s="3">
        <v>49.5</v>
      </c>
      <c r="N63" s="3">
        <v>242.231</v>
      </c>
      <c r="O63" s="3">
        <v>3.803</v>
      </c>
      <c r="P63" s="3">
        <f t="shared" si="0"/>
        <v>634.1205</v>
      </c>
      <c r="Q63" s="18">
        <v>14.6</v>
      </c>
      <c r="R63" s="1" t="s">
        <v>27</v>
      </c>
      <c r="S63" s="8">
        <v>-15.4</v>
      </c>
      <c r="T63" s="19">
        <v>-117</v>
      </c>
      <c r="U63" s="3">
        <v>0.84718023341708</v>
      </c>
    </row>
    <row r="64" ht="17.5" spans="1:21">
      <c r="A64" s="2" t="s">
        <v>170</v>
      </c>
      <c r="B64" s="1" t="s">
        <v>171</v>
      </c>
      <c r="C64" s="3">
        <v>26.15952</v>
      </c>
      <c r="D64" s="3">
        <v>103.11975</v>
      </c>
      <c r="E64" s="18">
        <v>75</v>
      </c>
      <c r="F64" s="3">
        <v>7.47</v>
      </c>
      <c r="G64" s="3">
        <v>26.52</v>
      </c>
      <c r="H64" s="3">
        <v>13.074</v>
      </c>
      <c r="I64" s="3">
        <v>32.42</v>
      </c>
      <c r="J64" s="3">
        <v>47.709</v>
      </c>
      <c r="K64" s="3">
        <v>7.407</v>
      </c>
      <c r="L64" s="3">
        <v>212.635</v>
      </c>
      <c r="M64" s="3">
        <v>14.52</v>
      </c>
      <c r="N64" s="3">
        <v>110.044</v>
      </c>
      <c r="O64" s="3">
        <v>0.569</v>
      </c>
      <c r="P64" s="3">
        <f t="shared" si="0"/>
        <v>409.876</v>
      </c>
      <c r="Q64" s="18">
        <v>22.9</v>
      </c>
      <c r="R64" s="1" t="s">
        <v>172</v>
      </c>
      <c r="S64" s="8">
        <v>-13.1</v>
      </c>
      <c r="T64" s="19">
        <v>-101</v>
      </c>
      <c r="U64" s="3">
        <v>-1.33345880194439</v>
      </c>
    </row>
    <row r="65" ht="17.5" spans="1:21">
      <c r="A65" s="2" t="s">
        <v>173</v>
      </c>
      <c r="B65" s="1" t="s">
        <v>174</v>
      </c>
      <c r="C65" s="3">
        <v>26.14945</v>
      </c>
      <c r="D65" s="3">
        <v>103.1647</v>
      </c>
      <c r="E65" s="18">
        <v>45</v>
      </c>
      <c r="F65" s="3">
        <v>7.78</v>
      </c>
      <c r="G65" s="3">
        <v>157.715</v>
      </c>
      <c r="H65" s="3">
        <v>9.481</v>
      </c>
      <c r="I65" s="3">
        <v>10.679</v>
      </c>
      <c r="J65" s="3">
        <v>10.127</v>
      </c>
      <c r="K65" s="3">
        <v>60.191</v>
      </c>
      <c r="L65" s="3">
        <v>32.288</v>
      </c>
      <c r="M65" s="3">
        <v>38.94</v>
      </c>
      <c r="N65" s="3">
        <v>261.69</v>
      </c>
      <c r="O65" s="3">
        <v>0.986</v>
      </c>
      <c r="P65" s="3">
        <f t="shared" si="0"/>
        <v>451.252</v>
      </c>
      <c r="Q65" s="18">
        <v>15.5</v>
      </c>
      <c r="R65" s="1" t="s">
        <v>91</v>
      </c>
      <c r="S65" s="8">
        <v>-13.3</v>
      </c>
      <c r="T65" s="19">
        <v>-99.8</v>
      </c>
      <c r="U65" s="3">
        <v>1.59227571450896</v>
      </c>
    </row>
    <row r="66" ht="17.5" spans="1:21">
      <c r="A66" s="2" t="s">
        <v>175</v>
      </c>
      <c r="B66" s="1" t="s">
        <v>176</v>
      </c>
      <c r="C66" s="3">
        <v>25.95</v>
      </c>
      <c r="D66" s="3">
        <v>103.25</v>
      </c>
      <c r="E66" s="18">
        <v>23</v>
      </c>
      <c r="F66" s="3">
        <v>7.27</v>
      </c>
      <c r="G66" s="3">
        <v>14.144</v>
      </c>
      <c r="H66" s="3">
        <v>3.484</v>
      </c>
      <c r="I66" s="3">
        <v>22.418</v>
      </c>
      <c r="J66" s="3">
        <v>24.781</v>
      </c>
      <c r="K66" s="3">
        <v>4.725</v>
      </c>
      <c r="L66" s="3">
        <v>55.846</v>
      </c>
      <c r="M66" s="3">
        <v>11.22</v>
      </c>
      <c r="N66" s="3">
        <v>140.91</v>
      </c>
      <c r="O66" s="3">
        <v>0.627</v>
      </c>
      <c r="P66" s="3">
        <f t="shared" si="0"/>
        <v>207.7</v>
      </c>
      <c r="Q66" s="18">
        <v>6</v>
      </c>
      <c r="R66" s="1" t="s">
        <v>161</v>
      </c>
      <c r="S66" s="8">
        <v>-12</v>
      </c>
      <c r="T66" s="19">
        <v>-86.7</v>
      </c>
      <c r="U66" s="3">
        <v>-1.14816237377668</v>
      </c>
    </row>
    <row r="67" ht="17.5" spans="1:21">
      <c r="A67" s="2" t="s">
        <v>177</v>
      </c>
      <c r="B67" s="1" t="s">
        <v>178</v>
      </c>
      <c r="C67" s="3">
        <v>25.9</v>
      </c>
      <c r="D67" s="3">
        <v>103.12</v>
      </c>
      <c r="E67" s="18">
        <v>32.3</v>
      </c>
      <c r="F67" s="3">
        <v>7.43</v>
      </c>
      <c r="G67" s="3">
        <v>15.956</v>
      </c>
      <c r="H67" s="3">
        <v>4.457</v>
      </c>
      <c r="I67" s="3">
        <v>16.576</v>
      </c>
      <c r="J67" s="3">
        <v>20.577</v>
      </c>
      <c r="K67" s="3">
        <v>5.968</v>
      </c>
      <c r="L67" s="3">
        <v>13.014</v>
      </c>
      <c r="M67" s="3">
        <v>18.48</v>
      </c>
      <c r="N67" s="3">
        <v>138.897</v>
      </c>
      <c r="O67" s="3">
        <v>3.183</v>
      </c>
      <c r="P67" s="3">
        <f t="shared" si="0"/>
        <v>167.6595</v>
      </c>
      <c r="Q67" s="18">
        <v>13.4</v>
      </c>
      <c r="R67" s="1" t="s">
        <v>34</v>
      </c>
      <c r="S67" s="8">
        <v>-11.8</v>
      </c>
      <c r="T67" s="19">
        <v>-87.6</v>
      </c>
      <c r="U67" s="3">
        <v>-1.25247924135102</v>
      </c>
    </row>
    <row r="68" ht="17.5" spans="1:21">
      <c r="A68" s="2" t="s">
        <v>179</v>
      </c>
      <c r="B68" s="1" t="s">
        <v>180</v>
      </c>
      <c r="C68" s="3">
        <v>25.42301</v>
      </c>
      <c r="D68" s="3">
        <v>103.24742</v>
      </c>
      <c r="E68" s="18">
        <v>59.5</v>
      </c>
      <c r="F68" s="3">
        <v>6.93</v>
      </c>
      <c r="G68" s="3">
        <v>125.783</v>
      </c>
      <c r="H68" s="3">
        <v>35.717</v>
      </c>
      <c r="I68" s="3">
        <v>26.937</v>
      </c>
      <c r="J68" s="3">
        <v>49.798</v>
      </c>
      <c r="K68" s="3">
        <v>16.728</v>
      </c>
      <c r="L68" s="3">
        <v>465.718</v>
      </c>
      <c r="M68" s="3">
        <v>11.88</v>
      </c>
      <c r="N68" s="3">
        <v>108.702</v>
      </c>
      <c r="O68" s="3">
        <v>0.051</v>
      </c>
      <c r="P68" s="3">
        <f t="shared" si="0"/>
        <v>786.963</v>
      </c>
      <c r="Q68" s="18">
        <v>31.6</v>
      </c>
      <c r="R68" s="1" t="s">
        <v>181</v>
      </c>
      <c r="S68" s="8">
        <v>-12.9</v>
      </c>
      <c r="T68" s="19">
        <v>-98.4</v>
      </c>
      <c r="U68" s="3">
        <v>-2.62697400972347</v>
      </c>
    </row>
    <row r="69" ht="17.5" spans="1:21">
      <c r="A69" s="2" t="s">
        <v>182</v>
      </c>
      <c r="B69" s="1" t="s">
        <v>183</v>
      </c>
      <c r="C69" s="3">
        <v>25.42</v>
      </c>
      <c r="D69" s="3">
        <v>103.11</v>
      </c>
      <c r="E69" s="18">
        <v>31</v>
      </c>
      <c r="F69" s="3">
        <v>7.66</v>
      </c>
      <c r="G69" s="3">
        <v>8.661</v>
      </c>
      <c r="H69" s="3">
        <v>3.123</v>
      </c>
      <c r="I69" s="3">
        <v>7.981</v>
      </c>
      <c r="J69" s="3">
        <v>32.063</v>
      </c>
      <c r="K69" s="3">
        <v>0.959</v>
      </c>
      <c r="L69" s="3">
        <v>15.224</v>
      </c>
      <c r="M69" s="3">
        <v>12.54</v>
      </c>
      <c r="N69" s="3">
        <v>124.806</v>
      </c>
      <c r="O69" s="3">
        <v>0.897</v>
      </c>
      <c r="P69" s="3">
        <f t="shared" ref="P69:P77" si="1">G69+H69+I69+J69+K69+L69+M69+O69+0.5*N69</f>
        <v>143.851</v>
      </c>
      <c r="Q69" s="18">
        <v>11.9</v>
      </c>
      <c r="R69" s="1" t="s">
        <v>46</v>
      </c>
      <c r="S69" s="8">
        <v>-12.5</v>
      </c>
      <c r="T69" s="19">
        <v>-91.8</v>
      </c>
      <c r="U69" s="3">
        <v>-0.88123115727681</v>
      </c>
    </row>
    <row r="70" ht="17.5" spans="1:21">
      <c r="A70" s="2" t="s">
        <v>184</v>
      </c>
      <c r="B70" s="1" t="s">
        <v>185</v>
      </c>
      <c r="C70" s="3">
        <v>24.94689</v>
      </c>
      <c r="D70" s="3">
        <v>103.13854</v>
      </c>
      <c r="E70" s="18">
        <v>51</v>
      </c>
      <c r="F70" s="3">
        <v>7.12</v>
      </c>
      <c r="G70" s="3">
        <v>99.239</v>
      </c>
      <c r="H70" s="3">
        <v>6.661</v>
      </c>
      <c r="I70" s="3">
        <v>51.578</v>
      </c>
      <c r="J70" s="3">
        <v>217.005</v>
      </c>
      <c r="K70" s="3">
        <v>1.785</v>
      </c>
      <c r="L70" s="3">
        <v>1052.42</v>
      </c>
      <c r="M70" s="3">
        <v>0</v>
      </c>
      <c r="N70" s="3">
        <v>116.083</v>
      </c>
      <c r="O70" s="3">
        <v>0.06</v>
      </c>
      <c r="P70" s="3">
        <f t="shared" si="1"/>
        <v>1486.7895</v>
      </c>
      <c r="Q70" s="18">
        <v>21.1</v>
      </c>
      <c r="R70" s="1" t="s">
        <v>144</v>
      </c>
      <c r="S70" s="8">
        <v>-13.6</v>
      </c>
      <c r="T70" s="19">
        <v>-98.6</v>
      </c>
      <c r="U70" s="3">
        <v>-4.87860553228498</v>
      </c>
    </row>
    <row r="71" ht="17.5" spans="1:21">
      <c r="A71" s="2" t="s">
        <v>186</v>
      </c>
      <c r="B71" s="1" t="s">
        <v>187</v>
      </c>
      <c r="C71" s="3">
        <v>24.67</v>
      </c>
      <c r="D71" s="3">
        <v>103.21</v>
      </c>
      <c r="E71" s="18">
        <v>24.2</v>
      </c>
      <c r="F71" s="3">
        <v>7.42</v>
      </c>
      <c r="G71" s="3">
        <v>1.864</v>
      </c>
      <c r="H71" s="3">
        <v>1.179</v>
      </c>
      <c r="I71" s="3">
        <v>11.014</v>
      </c>
      <c r="J71" s="3">
        <v>22.14</v>
      </c>
      <c r="K71" s="3">
        <v>1.013</v>
      </c>
      <c r="L71" s="3">
        <v>5.521</v>
      </c>
      <c r="M71" s="3">
        <v>11.22</v>
      </c>
      <c r="N71" s="3">
        <v>106.018</v>
      </c>
      <c r="O71" s="3">
        <v>8.309</v>
      </c>
      <c r="P71" s="3">
        <f t="shared" si="1"/>
        <v>115.269</v>
      </c>
      <c r="Q71" s="18">
        <v>5.14</v>
      </c>
      <c r="R71" s="1" t="s">
        <v>34</v>
      </c>
      <c r="S71" s="8">
        <v>-11.2</v>
      </c>
      <c r="T71" s="19">
        <v>-81.1</v>
      </c>
      <c r="U71" s="3">
        <v>-2.80029306711927</v>
      </c>
    </row>
    <row r="72" ht="17.5" spans="1:21">
      <c r="A72" s="2" t="s">
        <v>188</v>
      </c>
      <c r="B72" s="1" t="s">
        <v>189</v>
      </c>
      <c r="C72" s="3">
        <v>24.13</v>
      </c>
      <c r="D72" s="3">
        <v>102.95</v>
      </c>
      <c r="E72" s="18">
        <v>38</v>
      </c>
      <c r="F72" s="3">
        <v>7.08</v>
      </c>
      <c r="G72" s="3">
        <v>14.903</v>
      </c>
      <c r="H72" s="3">
        <v>9.447</v>
      </c>
      <c r="I72" s="3">
        <v>26.134</v>
      </c>
      <c r="J72" s="3">
        <v>29.916</v>
      </c>
      <c r="K72" s="3">
        <v>2.513</v>
      </c>
      <c r="L72" s="3">
        <v>56.447</v>
      </c>
      <c r="M72" s="3">
        <v>11.88</v>
      </c>
      <c r="N72" s="3">
        <v>166.408</v>
      </c>
      <c r="O72" s="3">
        <v>2.04</v>
      </c>
      <c r="P72" s="3">
        <f t="shared" si="1"/>
        <v>236.484</v>
      </c>
      <c r="Q72" s="18">
        <v>17</v>
      </c>
      <c r="R72" s="1" t="s">
        <v>190</v>
      </c>
      <c r="S72" s="8">
        <v>-11.3</v>
      </c>
      <c r="T72" s="19">
        <v>-84.5</v>
      </c>
      <c r="U72" s="3">
        <v>0.892944782751311</v>
      </c>
    </row>
    <row r="73" ht="17.5" spans="1:21">
      <c r="A73" s="2" t="s">
        <v>191</v>
      </c>
      <c r="B73" s="1" t="s">
        <v>192</v>
      </c>
      <c r="C73" s="3">
        <v>24.26</v>
      </c>
      <c r="D73" s="3">
        <v>103.1</v>
      </c>
      <c r="E73" s="18">
        <v>31</v>
      </c>
      <c r="F73" s="3">
        <v>7.03</v>
      </c>
      <c r="G73" s="3">
        <v>10.066</v>
      </c>
      <c r="H73" s="3">
        <v>3.58</v>
      </c>
      <c r="I73" s="3">
        <v>19.967</v>
      </c>
      <c r="J73" s="3">
        <v>28.385</v>
      </c>
      <c r="K73" s="3">
        <v>5.715</v>
      </c>
      <c r="L73" s="3">
        <v>27.884</v>
      </c>
      <c r="M73" s="3">
        <v>13.86</v>
      </c>
      <c r="N73" s="3">
        <v>112.057</v>
      </c>
      <c r="O73" s="3">
        <v>43.246</v>
      </c>
      <c r="P73" s="3">
        <f t="shared" si="1"/>
        <v>208.7315</v>
      </c>
      <c r="Q73" s="18">
        <v>8.25</v>
      </c>
      <c r="R73" s="1" t="s">
        <v>34</v>
      </c>
      <c r="S73" s="8">
        <v>-11.1</v>
      </c>
      <c r="T73" s="19">
        <v>-81</v>
      </c>
      <c r="U73" s="3">
        <v>-0.855696122452037</v>
      </c>
    </row>
    <row r="74" ht="17.5" spans="1:21">
      <c r="A74" s="2" t="s">
        <v>193</v>
      </c>
      <c r="B74" s="1" t="s">
        <v>194</v>
      </c>
      <c r="C74" s="3">
        <v>24.18</v>
      </c>
      <c r="D74" s="3">
        <v>103.1</v>
      </c>
      <c r="E74" s="18">
        <v>22.1</v>
      </c>
      <c r="F74" s="3">
        <v>7.26</v>
      </c>
      <c r="G74" s="3">
        <v>1.963</v>
      </c>
      <c r="H74" s="3">
        <v>1.574</v>
      </c>
      <c r="I74" s="3">
        <v>13.678</v>
      </c>
      <c r="J74" s="3">
        <v>27.523</v>
      </c>
      <c r="K74" s="3">
        <v>4.432</v>
      </c>
      <c r="L74" s="3">
        <v>10.042</v>
      </c>
      <c r="M74" s="3">
        <v>0</v>
      </c>
      <c r="N74" s="3">
        <v>124.135</v>
      </c>
      <c r="O74" s="3">
        <v>28.19</v>
      </c>
      <c r="P74" s="3">
        <f t="shared" si="1"/>
        <v>149.4695</v>
      </c>
      <c r="Q74" s="18">
        <v>3.65</v>
      </c>
      <c r="R74" s="1" t="s">
        <v>190</v>
      </c>
      <c r="S74" s="8">
        <v>-9.9</v>
      </c>
      <c r="T74" s="19">
        <v>-74</v>
      </c>
      <c r="U74" s="3">
        <v>-1.66538580255153</v>
      </c>
    </row>
    <row r="75" ht="17.5" spans="1:21">
      <c r="A75" s="2" t="s">
        <v>195</v>
      </c>
      <c r="B75" s="1" t="s">
        <v>196</v>
      </c>
      <c r="C75" s="3">
        <v>24.35</v>
      </c>
      <c r="D75" s="3">
        <v>103.07</v>
      </c>
      <c r="E75" s="18">
        <v>48.07</v>
      </c>
      <c r="F75" s="3">
        <v>6.95</v>
      </c>
      <c r="G75" s="3">
        <v>175.164</v>
      </c>
      <c r="H75" s="3">
        <v>20.589</v>
      </c>
      <c r="I75" s="3">
        <v>21.96</v>
      </c>
      <c r="J75" s="3">
        <v>65.464</v>
      </c>
      <c r="K75" s="3">
        <v>4.953</v>
      </c>
      <c r="L75" s="3">
        <v>358.794</v>
      </c>
      <c r="M75" s="3">
        <v>27.06</v>
      </c>
      <c r="N75" s="3">
        <v>286.517</v>
      </c>
      <c r="O75" s="3">
        <v>3.976</v>
      </c>
      <c r="P75" s="3">
        <f t="shared" si="1"/>
        <v>821.2185</v>
      </c>
      <c r="Q75" s="18">
        <v>24.2</v>
      </c>
      <c r="R75" s="1" t="s">
        <v>197</v>
      </c>
      <c r="S75" s="8">
        <v>-13.1</v>
      </c>
      <c r="T75" s="19">
        <v>-96.1</v>
      </c>
      <c r="U75" s="3">
        <v>-0.0576373253750665</v>
      </c>
    </row>
    <row r="76" ht="17.5" spans="1:21">
      <c r="A76" s="2" t="s">
        <v>198</v>
      </c>
      <c r="B76" s="1" t="s">
        <v>199</v>
      </c>
      <c r="C76" s="3">
        <v>24.46</v>
      </c>
      <c r="D76" s="3">
        <v>102.99</v>
      </c>
      <c r="E76" s="18">
        <v>35.5</v>
      </c>
      <c r="F76" s="3">
        <v>7.51</v>
      </c>
      <c r="G76" s="3">
        <v>1.618</v>
      </c>
      <c r="H76" s="3">
        <v>1.369</v>
      </c>
      <c r="I76" s="3">
        <v>28.617</v>
      </c>
      <c r="J76" s="3">
        <v>20.481</v>
      </c>
      <c r="K76" s="3">
        <v>0.26</v>
      </c>
      <c r="L76" s="3">
        <v>8.351</v>
      </c>
      <c r="M76" s="3">
        <v>15.18</v>
      </c>
      <c r="N76" s="3">
        <v>169.092</v>
      </c>
      <c r="O76" s="3">
        <v>1.747</v>
      </c>
      <c r="P76" s="3">
        <f t="shared" si="1"/>
        <v>162.169</v>
      </c>
      <c r="Q76" s="18">
        <v>6.75</v>
      </c>
      <c r="R76" s="1" t="s">
        <v>49</v>
      </c>
      <c r="S76" s="8">
        <v>-12.6</v>
      </c>
      <c r="T76" s="19">
        <v>-90.7</v>
      </c>
      <c r="U76" s="3">
        <v>0.19116601889157</v>
      </c>
    </row>
    <row r="77" ht="17.5" spans="1:21">
      <c r="A77" s="2" t="s">
        <v>200</v>
      </c>
      <c r="B77" s="1" t="s">
        <v>201</v>
      </c>
      <c r="C77" s="3">
        <v>24.53</v>
      </c>
      <c r="D77" s="3">
        <v>102.94</v>
      </c>
      <c r="E77" s="18">
        <v>53</v>
      </c>
      <c r="F77" s="3">
        <v>7.13</v>
      </c>
      <c r="G77" s="3">
        <v>57.836</v>
      </c>
      <c r="H77" s="3">
        <v>16.136</v>
      </c>
      <c r="I77" s="3">
        <v>35.321</v>
      </c>
      <c r="J77" s="3">
        <v>82.468</v>
      </c>
      <c r="K77" s="3">
        <v>6.542</v>
      </c>
      <c r="L77" s="3">
        <v>377.234</v>
      </c>
      <c r="M77" s="3">
        <v>22.44</v>
      </c>
      <c r="N77" s="3">
        <v>126.148</v>
      </c>
      <c r="O77" s="3">
        <v>0.133</v>
      </c>
      <c r="P77" s="3">
        <f t="shared" si="1"/>
        <v>661.184</v>
      </c>
      <c r="Q77" s="18">
        <v>18.9</v>
      </c>
      <c r="R77" s="1" t="s">
        <v>202</v>
      </c>
      <c r="S77" s="8">
        <v>-13.3</v>
      </c>
      <c r="T77" s="19">
        <v>-98.4</v>
      </c>
      <c r="U77" s="3">
        <v>-2.07679585761325</v>
      </c>
    </row>
    <row r="78" s="1" customFormat="1" ht="14.5" spans="1:19">
      <c r="A78" s="1" t="s">
        <v>203</v>
      </c>
      <c r="Q78" s="18"/>
      <c r="S78" s="7"/>
    </row>
    <row r="79" s="1" customFormat="1" ht="14.5" spans="1:19">
      <c r="A79" s="1" t="s">
        <v>204</v>
      </c>
      <c r="Q79" s="18"/>
      <c r="S79" s="7"/>
    </row>
    <row r="80" s="4" customFormat="1" ht="14.5" spans="1:19">
      <c r="A80" s="4" t="s">
        <v>205</v>
      </c>
      <c r="Q80" s="21"/>
      <c r="S80" s="22"/>
    </row>
  </sheetData>
  <mergeCells count="9">
    <mergeCell ref="G3:Q3"/>
    <mergeCell ref="S3:T3"/>
    <mergeCell ref="A2:A3"/>
    <mergeCell ref="B2:B3"/>
    <mergeCell ref="C2:C3"/>
    <mergeCell ref="D2:D3"/>
    <mergeCell ref="F2:F3"/>
    <mergeCell ref="R2:R3"/>
    <mergeCell ref="U2:U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80"/>
  <sheetViews>
    <sheetView topLeftCell="A73" workbookViewId="0">
      <selection activeCell="D86" sqref="D86"/>
    </sheetView>
  </sheetViews>
  <sheetFormatPr defaultColWidth="9" defaultRowHeight="14"/>
  <cols>
    <col min="1" max="1" width="10.6666666666667" customWidth="1"/>
    <col min="2" max="16" width="9" customWidth="1"/>
    <col min="17" max="18" width="9" style="12" customWidth="1"/>
    <col min="19" max="20" width="9" customWidth="1"/>
    <col min="21" max="21" width="8.5" customWidth="1"/>
  </cols>
  <sheetData>
    <row r="1" s="1" customFormat="1" ht="14.5" spans="1:1">
      <c r="A1" s="1" t="s">
        <v>206</v>
      </c>
    </row>
    <row r="2" ht="14.5" spans="1:20">
      <c r="A2" s="2" t="s">
        <v>1</v>
      </c>
      <c r="B2" s="2" t="s">
        <v>207</v>
      </c>
      <c r="C2" s="2" t="s">
        <v>208</v>
      </c>
      <c r="D2" s="2" t="s">
        <v>209</v>
      </c>
      <c r="E2" s="2" t="s">
        <v>210</v>
      </c>
      <c r="F2" s="2" t="s">
        <v>211</v>
      </c>
      <c r="G2" s="2" t="s">
        <v>212</v>
      </c>
      <c r="H2" s="2" t="s">
        <v>213</v>
      </c>
      <c r="I2" s="2" t="s">
        <v>214</v>
      </c>
      <c r="J2" s="2" t="s">
        <v>215</v>
      </c>
      <c r="K2" s="2" t="s">
        <v>216</v>
      </c>
      <c r="L2" s="2" t="s">
        <v>217</v>
      </c>
      <c r="M2" s="2" t="s">
        <v>218</v>
      </c>
      <c r="N2" s="2" t="s">
        <v>219</v>
      </c>
      <c r="O2" s="2" t="s">
        <v>220</v>
      </c>
      <c r="P2" s="2" t="s">
        <v>221</v>
      </c>
      <c r="Q2" s="2" t="s">
        <v>222</v>
      </c>
      <c r="R2" s="2" t="s">
        <v>223</v>
      </c>
      <c r="S2" s="2" t="s">
        <v>224</v>
      </c>
      <c r="T2" s="2" t="s">
        <v>225</v>
      </c>
    </row>
    <row r="3" ht="14.5" spans="1:20">
      <c r="A3" s="2"/>
      <c r="B3" s="2" t="s">
        <v>226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4"/>
      <c r="R3" s="14"/>
      <c r="S3" s="13"/>
      <c r="T3" s="13"/>
    </row>
    <row r="4" ht="14.5" spans="1:20">
      <c r="A4" s="2" t="s">
        <v>25</v>
      </c>
      <c r="B4" s="2">
        <v>1.47</v>
      </c>
      <c r="C4" s="2">
        <v>138</v>
      </c>
      <c r="D4" s="2">
        <v>0.215</v>
      </c>
      <c r="E4" s="2">
        <v>1.02</v>
      </c>
      <c r="F4" s="2">
        <v>578</v>
      </c>
      <c r="G4" s="2">
        <v>4.07</v>
      </c>
      <c r="H4" s="2">
        <v>1.99</v>
      </c>
      <c r="I4" s="2">
        <v>12.6</v>
      </c>
      <c r="J4" s="2">
        <v>1.05</v>
      </c>
      <c r="K4" s="2">
        <v>4.33</v>
      </c>
      <c r="L4" s="2">
        <v>0.251</v>
      </c>
      <c r="M4" s="2">
        <v>215</v>
      </c>
      <c r="N4" s="2">
        <v>0.029</v>
      </c>
      <c r="O4" s="2">
        <v>0.146</v>
      </c>
      <c r="P4" s="2">
        <v>0.341</v>
      </c>
      <c r="Q4" s="2">
        <v>940</v>
      </c>
      <c r="R4" s="2">
        <v>1710</v>
      </c>
      <c r="S4" s="2">
        <v>4330</v>
      </c>
      <c r="T4" s="2">
        <v>33.8</v>
      </c>
    </row>
    <row r="5" ht="14.5" spans="1:20">
      <c r="A5" s="2" t="s">
        <v>28</v>
      </c>
      <c r="B5" s="2">
        <v>40.4</v>
      </c>
      <c r="C5" s="2">
        <v>1.79</v>
      </c>
      <c r="D5" s="2">
        <v>0.002</v>
      </c>
      <c r="E5" s="2">
        <v>1.63</v>
      </c>
      <c r="F5" s="2">
        <v>0.065</v>
      </c>
      <c r="G5" s="2">
        <v>5.68</v>
      </c>
      <c r="H5" s="2">
        <v>0.105</v>
      </c>
      <c r="I5" s="2">
        <v>2.22</v>
      </c>
      <c r="J5" s="2">
        <v>0.199</v>
      </c>
      <c r="K5" s="2">
        <v>0.036</v>
      </c>
      <c r="L5" s="2">
        <v>0.381</v>
      </c>
      <c r="M5" s="2">
        <v>6.35</v>
      </c>
      <c r="N5" s="2">
        <v>0.023</v>
      </c>
      <c r="O5" s="2">
        <v>0.012</v>
      </c>
      <c r="P5" s="2">
        <v>0.288</v>
      </c>
      <c r="Q5" s="2">
        <v>71.1</v>
      </c>
      <c r="R5" s="2">
        <v>20.7</v>
      </c>
      <c r="S5" s="2">
        <v>0.662</v>
      </c>
      <c r="T5" s="2">
        <v>0.886</v>
      </c>
    </row>
    <row r="6" ht="14.5" spans="1:20">
      <c r="A6" s="2" t="s">
        <v>32</v>
      </c>
      <c r="B6" s="2">
        <v>98.7</v>
      </c>
      <c r="C6" s="2">
        <v>64.6</v>
      </c>
      <c r="D6" s="2">
        <v>0.028</v>
      </c>
      <c r="E6" s="2">
        <v>0.47</v>
      </c>
      <c r="F6" s="2">
        <v>0.917</v>
      </c>
      <c r="G6" s="2">
        <v>0.765</v>
      </c>
      <c r="H6" s="2">
        <v>0.213</v>
      </c>
      <c r="I6" s="2">
        <v>5.13</v>
      </c>
      <c r="J6" s="2">
        <v>0.942</v>
      </c>
      <c r="K6" s="2">
        <v>7.44</v>
      </c>
      <c r="L6" s="2">
        <v>0.882</v>
      </c>
      <c r="M6" s="2">
        <v>24.5</v>
      </c>
      <c r="N6" s="2">
        <v>0.135</v>
      </c>
      <c r="O6" s="2">
        <v>0.245</v>
      </c>
      <c r="P6" s="2">
        <v>0.396</v>
      </c>
      <c r="Q6" s="2">
        <v>218</v>
      </c>
      <c r="R6" s="2">
        <v>275</v>
      </c>
      <c r="S6" s="2">
        <v>108</v>
      </c>
      <c r="T6" s="2">
        <v>12.6</v>
      </c>
    </row>
    <row r="7" ht="14.5" spans="1:20">
      <c r="A7" s="2" t="s">
        <v>35</v>
      </c>
      <c r="B7" s="2" t="s">
        <v>227</v>
      </c>
      <c r="C7" s="2">
        <v>516</v>
      </c>
      <c r="D7" s="2">
        <v>0.876</v>
      </c>
      <c r="E7" s="2">
        <v>6.12</v>
      </c>
      <c r="F7" s="2">
        <v>247</v>
      </c>
      <c r="G7" s="2">
        <v>7.12</v>
      </c>
      <c r="H7" s="2">
        <v>2.28</v>
      </c>
      <c r="I7" s="2">
        <v>8.8</v>
      </c>
      <c r="J7" s="2">
        <v>4.84</v>
      </c>
      <c r="K7" s="2">
        <v>13.2</v>
      </c>
      <c r="L7" s="2">
        <v>0.103</v>
      </c>
      <c r="M7" s="2">
        <v>826</v>
      </c>
      <c r="N7" s="2">
        <v>0.043</v>
      </c>
      <c r="O7" s="2">
        <v>9.27</v>
      </c>
      <c r="P7" s="2">
        <v>0.188</v>
      </c>
      <c r="Q7" s="2">
        <v>1358</v>
      </c>
      <c r="R7" s="2">
        <v>2091</v>
      </c>
      <c r="S7" s="2">
        <v>5569</v>
      </c>
      <c r="T7" s="9" t="s">
        <v>31</v>
      </c>
    </row>
    <row r="8" ht="14.5" spans="1:20">
      <c r="A8" s="2" t="s">
        <v>38</v>
      </c>
      <c r="B8" s="2" t="s">
        <v>227</v>
      </c>
      <c r="C8" s="2">
        <v>641</v>
      </c>
      <c r="D8" s="2">
        <v>0.109</v>
      </c>
      <c r="E8" s="2">
        <v>0.141</v>
      </c>
      <c r="F8" s="2">
        <v>0.814</v>
      </c>
      <c r="G8" s="2">
        <v>35.1</v>
      </c>
      <c r="H8" s="2">
        <v>0.468</v>
      </c>
      <c r="I8" s="2">
        <v>10.5</v>
      </c>
      <c r="J8" s="2">
        <v>0.763</v>
      </c>
      <c r="K8" s="2">
        <v>0.619</v>
      </c>
      <c r="L8" s="2">
        <v>0.022</v>
      </c>
      <c r="M8" s="2">
        <v>1381</v>
      </c>
      <c r="N8" s="2">
        <v>0.01</v>
      </c>
      <c r="O8" s="2">
        <v>0.033</v>
      </c>
      <c r="P8" s="2">
        <v>0.049</v>
      </c>
      <c r="Q8" s="2">
        <v>2313</v>
      </c>
      <c r="R8" s="2">
        <v>562</v>
      </c>
      <c r="S8" s="2">
        <v>20.2</v>
      </c>
      <c r="T8" s="2">
        <v>0.005</v>
      </c>
    </row>
    <row r="9" ht="14.5" spans="1:20">
      <c r="A9" s="2" t="s">
        <v>40</v>
      </c>
      <c r="B9" s="2">
        <v>47.33</v>
      </c>
      <c r="C9" s="2">
        <v>853.6</v>
      </c>
      <c r="D9" s="9" t="s">
        <v>31</v>
      </c>
      <c r="E9" s="2">
        <v>1.29</v>
      </c>
      <c r="F9" s="2">
        <v>4.68</v>
      </c>
      <c r="G9" s="2">
        <v>2.64</v>
      </c>
      <c r="H9" s="2">
        <v>0.03</v>
      </c>
      <c r="I9" s="9" t="s">
        <v>31</v>
      </c>
      <c r="J9" s="2">
        <v>0.73</v>
      </c>
      <c r="K9" s="2">
        <v>3.96</v>
      </c>
      <c r="L9" s="2">
        <v>1.26</v>
      </c>
      <c r="M9" s="2">
        <v>216.7</v>
      </c>
      <c r="N9" s="9" t="s">
        <v>31</v>
      </c>
      <c r="O9" s="9" t="s">
        <v>31</v>
      </c>
      <c r="P9" s="2">
        <v>0.2</v>
      </c>
      <c r="Q9" s="2">
        <v>1631</v>
      </c>
      <c r="R9" s="9" t="s">
        <v>31</v>
      </c>
      <c r="S9" s="9" t="s">
        <v>31</v>
      </c>
      <c r="T9" s="9" t="s">
        <v>31</v>
      </c>
    </row>
    <row r="10" ht="14.5" spans="1:20">
      <c r="A10" s="2" t="s">
        <v>42</v>
      </c>
      <c r="B10" s="2" t="s">
        <v>227</v>
      </c>
      <c r="C10" s="2">
        <v>481</v>
      </c>
      <c r="D10" s="2">
        <v>1.64</v>
      </c>
      <c r="E10" s="2">
        <v>0.221</v>
      </c>
      <c r="F10" s="2">
        <v>134</v>
      </c>
      <c r="G10" s="2">
        <v>7.99</v>
      </c>
      <c r="H10" s="2">
        <v>0.376</v>
      </c>
      <c r="I10" s="2">
        <v>8.65</v>
      </c>
      <c r="J10" s="2">
        <v>0.894</v>
      </c>
      <c r="K10" s="2">
        <v>3.12</v>
      </c>
      <c r="L10" s="2">
        <v>0.242</v>
      </c>
      <c r="M10" s="2">
        <v>471</v>
      </c>
      <c r="N10" s="2">
        <v>0.016</v>
      </c>
      <c r="O10" s="2">
        <v>0.142</v>
      </c>
      <c r="P10" s="2">
        <v>0.06</v>
      </c>
      <c r="Q10" s="2">
        <v>1818</v>
      </c>
      <c r="R10" s="2">
        <v>539</v>
      </c>
      <c r="S10" s="2">
        <v>1834</v>
      </c>
      <c r="T10" s="2">
        <v>22.8</v>
      </c>
    </row>
    <row r="11" ht="14.5" spans="1:20">
      <c r="A11" s="2" t="s">
        <v>44</v>
      </c>
      <c r="B11" s="2">
        <v>1.24</v>
      </c>
      <c r="C11" s="2">
        <v>415</v>
      </c>
      <c r="D11" s="2">
        <v>2.34</v>
      </c>
      <c r="E11" s="2">
        <v>0.438</v>
      </c>
      <c r="F11" s="2">
        <v>642</v>
      </c>
      <c r="G11" s="2">
        <v>10.7</v>
      </c>
      <c r="H11" s="2">
        <v>2.29</v>
      </c>
      <c r="I11" s="2">
        <v>29.2</v>
      </c>
      <c r="J11" s="2">
        <v>2.06</v>
      </c>
      <c r="K11" s="2">
        <v>5.42</v>
      </c>
      <c r="L11" s="2">
        <v>0.244</v>
      </c>
      <c r="M11" s="2">
        <v>1003</v>
      </c>
      <c r="N11" s="2">
        <v>0.01</v>
      </c>
      <c r="O11" s="2">
        <v>0.077</v>
      </c>
      <c r="P11" s="2">
        <v>0.226</v>
      </c>
      <c r="Q11" s="2">
        <v>3770</v>
      </c>
      <c r="R11" s="2">
        <v>462</v>
      </c>
      <c r="S11" s="2">
        <v>2492</v>
      </c>
      <c r="T11" s="2">
        <v>51.7</v>
      </c>
    </row>
    <row r="12" ht="14.5" spans="1:20">
      <c r="A12" s="2" t="s">
        <v>47</v>
      </c>
      <c r="B12" s="2" t="s">
        <v>227</v>
      </c>
      <c r="C12" s="2">
        <v>125</v>
      </c>
      <c r="D12" s="2">
        <v>0.027</v>
      </c>
      <c r="E12" s="2">
        <v>0.128</v>
      </c>
      <c r="F12" s="2">
        <v>9.79</v>
      </c>
      <c r="G12" s="2">
        <v>3.08</v>
      </c>
      <c r="H12" s="2">
        <v>0.506</v>
      </c>
      <c r="I12" s="2">
        <v>12.1</v>
      </c>
      <c r="J12" s="2">
        <v>2.35</v>
      </c>
      <c r="K12" s="2">
        <v>6.76</v>
      </c>
      <c r="L12" s="2">
        <v>0.05</v>
      </c>
      <c r="M12" s="2">
        <v>91.6</v>
      </c>
      <c r="N12" s="2">
        <v>0.007</v>
      </c>
      <c r="O12" s="2">
        <v>0.153</v>
      </c>
      <c r="P12" s="2">
        <v>0.169</v>
      </c>
      <c r="Q12" s="2">
        <v>1773</v>
      </c>
      <c r="R12" s="2">
        <v>105</v>
      </c>
      <c r="S12" s="2">
        <v>164</v>
      </c>
      <c r="T12" s="2">
        <v>76.3</v>
      </c>
    </row>
    <row r="13" ht="14.5" spans="1:20">
      <c r="A13" s="2" t="s">
        <v>50</v>
      </c>
      <c r="B13" s="2" t="s">
        <v>227</v>
      </c>
      <c r="C13" s="2">
        <v>39.3</v>
      </c>
      <c r="D13" s="2">
        <v>0.005</v>
      </c>
      <c r="E13" s="2">
        <v>0.068</v>
      </c>
      <c r="F13" s="2">
        <v>1.01</v>
      </c>
      <c r="G13" s="2">
        <v>9.82</v>
      </c>
      <c r="H13" s="2">
        <v>0.511</v>
      </c>
      <c r="I13" s="2">
        <v>16.4</v>
      </c>
      <c r="J13" s="2">
        <v>3.84</v>
      </c>
      <c r="K13" s="2">
        <v>9.39</v>
      </c>
      <c r="L13" s="2">
        <v>0.176</v>
      </c>
      <c r="M13" s="2">
        <v>33.8</v>
      </c>
      <c r="N13" s="2">
        <v>0.002</v>
      </c>
      <c r="O13" s="2">
        <v>0.024</v>
      </c>
      <c r="P13" s="2">
        <v>0.74</v>
      </c>
      <c r="Q13" s="2">
        <v>2062</v>
      </c>
      <c r="R13" s="2">
        <v>41.9</v>
      </c>
      <c r="S13" s="2">
        <v>6.41</v>
      </c>
      <c r="T13" s="2">
        <v>7.56</v>
      </c>
    </row>
    <row r="14" ht="14.5" spans="1:20">
      <c r="A14" s="2" t="s">
        <v>53</v>
      </c>
      <c r="B14" s="2" t="s">
        <v>227</v>
      </c>
      <c r="C14" s="2">
        <v>11.8</v>
      </c>
      <c r="D14" s="2">
        <v>0.003</v>
      </c>
      <c r="E14" s="2">
        <v>0.291</v>
      </c>
      <c r="F14" s="2">
        <v>0.391</v>
      </c>
      <c r="G14" s="2">
        <v>7.5</v>
      </c>
      <c r="H14" s="2">
        <v>0.517</v>
      </c>
      <c r="I14" s="2">
        <v>17.3</v>
      </c>
      <c r="J14" s="2">
        <v>1.03</v>
      </c>
      <c r="K14" s="2">
        <v>2.45</v>
      </c>
      <c r="L14" s="2">
        <v>0.126</v>
      </c>
      <c r="M14" s="2">
        <v>45.7</v>
      </c>
      <c r="N14" s="2">
        <v>0.002</v>
      </c>
      <c r="O14" s="2">
        <v>0.05</v>
      </c>
      <c r="P14" s="2">
        <v>0.377</v>
      </c>
      <c r="Q14" s="2">
        <v>278</v>
      </c>
      <c r="R14" s="2">
        <v>59.5</v>
      </c>
      <c r="S14" s="2">
        <v>1.35</v>
      </c>
      <c r="T14" s="2">
        <v>5.53</v>
      </c>
    </row>
    <row r="15" ht="14.5" spans="1:20">
      <c r="A15" s="2" t="s">
        <v>55</v>
      </c>
      <c r="B15" s="2">
        <v>3.11</v>
      </c>
      <c r="C15" s="2">
        <v>672</v>
      </c>
      <c r="D15" s="2">
        <v>0.77</v>
      </c>
      <c r="E15" s="2">
        <v>0.224</v>
      </c>
      <c r="F15" s="2">
        <v>52.1</v>
      </c>
      <c r="G15" s="2">
        <v>7.07</v>
      </c>
      <c r="H15" s="2">
        <v>0.213</v>
      </c>
      <c r="I15" s="2">
        <v>3.62</v>
      </c>
      <c r="J15" s="2">
        <v>0.56</v>
      </c>
      <c r="K15" s="2">
        <v>2.27</v>
      </c>
      <c r="L15" s="2">
        <v>0.186</v>
      </c>
      <c r="M15" s="2">
        <v>666</v>
      </c>
      <c r="N15" s="2">
        <v>0.023</v>
      </c>
      <c r="O15" s="2">
        <v>0.114</v>
      </c>
      <c r="P15" s="2">
        <v>0.008</v>
      </c>
      <c r="Q15" s="2">
        <v>1081</v>
      </c>
      <c r="R15" s="2">
        <v>1338</v>
      </c>
      <c r="S15" s="2">
        <v>162</v>
      </c>
      <c r="T15" s="9" t="s">
        <v>31</v>
      </c>
    </row>
    <row r="16" ht="14.5" spans="1:20">
      <c r="A16" s="2" t="s">
        <v>57</v>
      </c>
      <c r="B16" s="2">
        <v>0.93</v>
      </c>
      <c r="C16" s="2">
        <v>4547</v>
      </c>
      <c r="D16" s="9" t="s">
        <v>31</v>
      </c>
      <c r="E16" s="2">
        <v>1.46</v>
      </c>
      <c r="F16" s="2">
        <v>1.46</v>
      </c>
      <c r="G16" s="2">
        <v>0.44</v>
      </c>
      <c r="H16" s="9" t="s">
        <v>31</v>
      </c>
      <c r="I16" s="2">
        <v>0.03</v>
      </c>
      <c r="J16" s="2">
        <v>0.15</v>
      </c>
      <c r="K16" s="2">
        <v>26.99</v>
      </c>
      <c r="L16" s="2">
        <v>0.09</v>
      </c>
      <c r="M16" s="2">
        <v>93.63</v>
      </c>
      <c r="N16" s="9" t="s">
        <v>31</v>
      </c>
      <c r="O16" s="9" t="s">
        <v>31</v>
      </c>
      <c r="P16" s="2">
        <v>0.03</v>
      </c>
      <c r="Q16" s="2">
        <v>601</v>
      </c>
      <c r="R16" s="9" t="s">
        <v>31</v>
      </c>
      <c r="S16" s="9" t="s">
        <v>31</v>
      </c>
      <c r="T16" s="9" t="s">
        <v>31</v>
      </c>
    </row>
    <row r="17" ht="14.5" spans="1:20">
      <c r="A17" s="2" t="s">
        <v>59</v>
      </c>
      <c r="B17" s="2">
        <v>0.9</v>
      </c>
      <c r="C17" s="2">
        <v>3648</v>
      </c>
      <c r="D17" s="9" t="s">
        <v>31</v>
      </c>
      <c r="E17" s="2">
        <v>1.85</v>
      </c>
      <c r="F17" s="2">
        <v>1.49</v>
      </c>
      <c r="G17" s="2">
        <v>0.41</v>
      </c>
      <c r="H17" s="9" t="s">
        <v>31</v>
      </c>
      <c r="I17" s="2">
        <v>0.1</v>
      </c>
      <c r="J17" s="2">
        <v>0.08</v>
      </c>
      <c r="K17" s="2">
        <v>17.74</v>
      </c>
      <c r="L17" s="2">
        <v>0.05</v>
      </c>
      <c r="M17" s="2">
        <v>64.96</v>
      </c>
      <c r="N17" s="9" t="s">
        <v>31</v>
      </c>
      <c r="O17" s="9" t="s">
        <v>31</v>
      </c>
      <c r="P17" s="2">
        <v>0.16</v>
      </c>
      <c r="Q17" s="2">
        <v>463.9</v>
      </c>
      <c r="R17" s="9" t="s">
        <v>31</v>
      </c>
      <c r="S17" s="9" t="s">
        <v>31</v>
      </c>
      <c r="T17" s="9" t="s">
        <v>31</v>
      </c>
    </row>
    <row r="18" ht="14.5" spans="1:20">
      <c r="A18" s="2" t="s">
        <v>61</v>
      </c>
      <c r="B18" s="2" t="s">
        <v>227</v>
      </c>
      <c r="C18" s="2">
        <v>3893</v>
      </c>
      <c r="D18" s="9" t="s">
        <v>31</v>
      </c>
      <c r="E18" s="2">
        <v>1.43</v>
      </c>
      <c r="F18" s="2">
        <v>1.42</v>
      </c>
      <c r="G18" s="2">
        <v>0.1</v>
      </c>
      <c r="H18" s="2">
        <v>0.12</v>
      </c>
      <c r="I18" s="9" t="s">
        <v>31</v>
      </c>
      <c r="J18" s="2">
        <v>31.7</v>
      </c>
      <c r="K18" s="2">
        <v>0.006</v>
      </c>
      <c r="L18" s="2">
        <v>50.64</v>
      </c>
      <c r="M18" s="9" t="s">
        <v>31</v>
      </c>
      <c r="N18" s="9" t="s">
        <v>31</v>
      </c>
      <c r="O18" s="9" t="s">
        <v>31</v>
      </c>
      <c r="P18" s="2">
        <v>0.06</v>
      </c>
      <c r="Q18" s="2">
        <v>383.2</v>
      </c>
      <c r="R18" s="9" t="s">
        <v>31</v>
      </c>
      <c r="S18" s="9" t="s">
        <v>31</v>
      </c>
      <c r="T18" s="9" t="s">
        <v>31</v>
      </c>
    </row>
    <row r="19" ht="14.5" spans="1:20">
      <c r="A19" s="2" t="s">
        <v>63</v>
      </c>
      <c r="B19" s="2">
        <v>30.9</v>
      </c>
      <c r="C19" s="2">
        <v>1351</v>
      </c>
      <c r="D19" s="2">
        <v>0.666</v>
      </c>
      <c r="E19" s="2">
        <v>0.527</v>
      </c>
      <c r="F19" s="2">
        <v>97.1</v>
      </c>
      <c r="G19" s="2">
        <v>0.756</v>
      </c>
      <c r="H19" s="2">
        <v>1.22</v>
      </c>
      <c r="I19" s="2">
        <v>6.11</v>
      </c>
      <c r="J19" s="2">
        <v>8.17</v>
      </c>
      <c r="K19" s="2">
        <v>2.62</v>
      </c>
      <c r="L19" s="2">
        <v>1.01</v>
      </c>
      <c r="M19" s="2">
        <v>615</v>
      </c>
      <c r="N19" s="2">
        <v>0.151</v>
      </c>
      <c r="O19" s="2">
        <v>0.992</v>
      </c>
      <c r="P19" s="2">
        <v>0.281</v>
      </c>
      <c r="Q19" s="2">
        <v>2762</v>
      </c>
      <c r="R19" s="2">
        <v>2533</v>
      </c>
      <c r="S19" s="2">
        <v>37.7</v>
      </c>
      <c r="T19" s="2">
        <v>18.4</v>
      </c>
    </row>
    <row r="20" ht="14.5" spans="1:20">
      <c r="A20" s="2" t="s">
        <v>65</v>
      </c>
      <c r="B20" s="2" t="s">
        <v>227</v>
      </c>
      <c r="C20" s="2">
        <v>150</v>
      </c>
      <c r="D20" s="2">
        <v>0.421</v>
      </c>
      <c r="E20" s="2">
        <v>0.169</v>
      </c>
      <c r="F20" s="2">
        <v>157</v>
      </c>
      <c r="G20" s="2">
        <v>0.235</v>
      </c>
      <c r="H20" s="2">
        <v>0.275</v>
      </c>
      <c r="I20" s="2">
        <v>7.54</v>
      </c>
      <c r="J20" s="2">
        <v>1.42</v>
      </c>
      <c r="K20" s="2">
        <v>1.63</v>
      </c>
      <c r="L20" s="2">
        <v>0.078</v>
      </c>
      <c r="M20" s="2">
        <v>633</v>
      </c>
      <c r="N20" s="2">
        <v>0.008</v>
      </c>
      <c r="O20" s="2">
        <v>1.41</v>
      </c>
      <c r="P20" s="2">
        <v>0.318</v>
      </c>
      <c r="Q20" s="2">
        <v>1740</v>
      </c>
      <c r="R20" s="2">
        <v>333</v>
      </c>
      <c r="S20" s="2">
        <v>15.7</v>
      </c>
      <c r="T20" s="2">
        <v>8.58</v>
      </c>
    </row>
    <row r="21" ht="14.5" spans="1:20">
      <c r="A21" s="2" t="s">
        <v>67</v>
      </c>
      <c r="B21" s="2" t="s">
        <v>227</v>
      </c>
      <c r="C21" s="2">
        <v>2052</v>
      </c>
      <c r="D21" s="9" t="s">
        <v>31</v>
      </c>
      <c r="E21" s="2">
        <v>2.46</v>
      </c>
      <c r="F21" s="2">
        <v>1.49</v>
      </c>
      <c r="G21" s="2">
        <v>0.9</v>
      </c>
      <c r="H21" s="2" t="s">
        <v>31</v>
      </c>
      <c r="I21" s="9" t="s">
        <v>31</v>
      </c>
      <c r="J21" s="2">
        <v>0.14</v>
      </c>
      <c r="K21" s="2">
        <v>2.37</v>
      </c>
      <c r="L21" s="2">
        <v>0.02</v>
      </c>
      <c r="M21" s="2">
        <v>11.6</v>
      </c>
      <c r="N21" s="9" t="s">
        <v>31</v>
      </c>
      <c r="O21" s="9" t="s">
        <v>31</v>
      </c>
      <c r="P21" s="9" t="s">
        <v>31</v>
      </c>
      <c r="Q21" s="2">
        <v>15.99</v>
      </c>
      <c r="R21" s="9" t="s">
        <v>31</v>
      </c>
      <c r="S21" s="9" t="s">
        <v>31</v>
      </c>
      <c r="T21" s="9" t="s">
        <v>31</v>
      </c>
    </row>
    <row r="22" ht="14.5" spans="1:20">
      <c r="A22" s="2" t="s">
        <v>69</v>
      </c>
      <c r="B22" s="2">
        <v>0.66</v>
      </c>
      <c r="C22" s="2">
        <v>282</v>
      </c>
      <c r="D22" s="2">
        <v>0.649</v>
      </c>
      <c r="E22" s="2">
        <v>0.795</v>
      </c>
      <c r="F22" s="2">
        <v>200</v>
      </c>
      <c r="G22" s="2">
        <v>9.17</v>
      </c>
      <c r="H22" s="2">
        <v>1.06</v>
      </c>
      <c r="I22" s="2">
        <v>10.7</v>
      </c>
      <c r="J22" s="2">
        <v>4.94</v>
      </c>
      <c r="K22" s="2">
        <v>5.25</v>
      </c>
      <c r="L22" s="2">
        <v>0.195</v>
      </c>
      <c r="M22" s="2">
        <v>396</v>
      </c>
      <c r="N22" s="2">
        <v>0.047</v>
      </c>
      <c r="O22" s="2">
        <v>0.299</v>
      </c>
      <c r="P22" s="2">
        <v>0.034</v>
      </c>
      <c r="Q22" s="2">
        <v>609</v>
      </c>
      <c r="R22" s="2">
        <v>1202</v>
      </c>
      <c r="S22" s="2">
        <v>2246</v>
      </c>
      <c r="T22" s="2">
        <v>109</v>
      </c>
    </row>
    <row r="23" ht="14.5" spans="1:20">
      <c r="A23" s="2" t="s">
        <v>71</v>
      </c>
      <c r="B23" s="2" t="s">
        <v>227</v>
      </c>
      <c r="C23" s="2">
        <v>1355</v>
      </c>
      <c r="D23" s="2">
        <v>7.28</v>
      </c>
      <c r="E23" s="2">
        <v>0.533</v>
      </c>
      <c r="F23" s="2">
        <v>73.7</v>
      </c>
      <c r="G23" s="2">
        <v>8.44</v>
      </c>
      <c r="H23" s="2">
        <v>0.325</v>
      </c>
      <c r="I23" s="2">
        <v>7.75</v>
      </c>
      <c r="J23" s="2">
        <v>0.961</v>
      </c>
      <c r="K23" s="2">
        <v>2.7</v>
      </c>
      <c r="L23" s="2">
        <v>0.192</v>
      </c>
      <c r="M23" s="2">
        <v>1186</v>
      </c>
      <c r="N23" s="2">
        <v>0.296</v>
      </c>
      <c r="O23" s="2">
        <v>0.003</v>
      </c>
      <c r="P23" s="2">
        <v>0.053</v>
      </c>
      <c r="Q23" s="2">
        <v>2993</v>
      </c>
      <c r="R23" s="2">
        <v>3788</v>
      </c>
      <c r="S23" s="2">
        <v>545</v>
      </c>
      <c r="T23" s="2">
        <v>9.85</v>
      </c>
    </row>
    <row r="24" ht="14.5" spans="1:20">
      <c r="A24" s="2" t="s">
        <v>73</v>
      </c>
      <c r="B24" s="2" t="s">
        <v>227</v>
      </c>
      <c r="C24" s="2">
        <v>2525</v>
      </c>
      <c r="D24" s="2">
        <v>10.9</v>
      </c>
      <c r="E24" s="2">
        <v>0.535</v>
      </c>
      <c r="F24" s="2">
        <v>106</v>
      </c>
      <c r="G24" s="2">
        <v>8.05</v>
      </c>
      <c r="H24" s="2">
        <v>0.221</v>
      </c>
      <c r="I24" s="2">
        <v>5.43</v>
      </c>
      <c r="J24" s="2">
        <v>0.665</v>
      </c>
      <c r="K24" s="2">
        <v>1.61</v>
      </c>
      <c r="L24" s="2">
        <v>0.721</v>
      </c>
      <c r="M24" s="2">
        <v>65.6</v>
      </c>
      <c r="N24" s="2">
        <v>0.5</v>
      </c>
      <c r="O24" s="2">
        <v>0.076</v>
      </c>
      <c r="P24" s="2">
        <v>0.03</v>
      </c>
      <c r="Q24" s="2">
        <v>1884</v>
      </c>
      <c r="R24" s="2">
        <v>2357</v>
      </c>
      <c r="S24" s="2">
        <v>352</v>
      </c>
      <c r="T24" s="2">
        <v>10.7</v>
      </c>
    </row>
    <row r="25" ht="14.5" spans="1:20">
      <c r="A25" s="2" t="s">
        <v>75</v>
      </c>
      <c r="B25" s="2" t="s">
        <v>227</v>
      </c>
      <c r="C25" s="2">
        <v>871</v>
      </c>
      <c r="D25" s="2">
        <v>5.27</v>
      </c>
      <c r="E25" s="2">
        <v>1.6</v>
      </c>
      <c r="F25" s="2">
        <v>200</v>
      </c>
      <c r="G25" s="2">
        <v>1.7</v>
      </c>
      <c r="H25" s="2">
        <v>0.048</v>
      </c>
      <c r="I25" s="2">
        <v>1.06</v>
      </c>
      <c r="J25" s="2">
        <v>0.326</v>
      </c>
      <c r="K25" s="9" t="s">
        <v>31</v>
      </c>
      <c r="L25" s="2">
        <v>0.165</v>
      </c>
      <c r="M25" s="2">
        <v>314</v>
      </c>
      <c r="N25" s="2">
        <v>0.01</v>
      </c>
      <c r="O25" s="2">
        <v>1.77</v>
      </c>
      <c r="P25" s="2">
        <v>0.443</v>
      </c>
      <c r="Q25" s="2">
        <v>874</v>
      </c>
      <c r="R25" s="2">
        <v>485</v>
      </c>
      <c r="S25" s="2">
        <v>1019</v>
      </c>
      <c r="T25" s="2">
        <v>23.1</v>
      </c>
    </row>
    <row r="26" ht="14.5" spans="1:20">
      <c r="A26" s="2" t="s">
        <v>77</v>
      </c>
      <c r="B26" s="2">
        <v>0.61</v>
      </c>
      <c r="C26" s="2">
        <v>131</v>
      </c>
      <c r="D26" s="2">
        <v>0.42</v>
      </c>
      <c r="E26" s="2">
        <v>0.45</v>
      </c>
      <c r="F26" s="2">
        <v>6.05</v>
      </c>
      <c r="G26" s="2">
        <v>2.17</v>
      </c>
      <c r="H26" s="2">
        <v>0.028</v>
      </c>
      <c r="I26" s="2">
        <v>0.345</v>
      </c>
      <c r="J26" s="2">
        <v>0.456</v>
      </c>
      <c r="K26" s="2">
        <v>3.16</v>
      </c>
      <c r="L26" s="2">
        <v>13.9</v>
      </c>
      <c r="M26" s="2">
        <v>2.43</v>
      </c>
      <c r="N26" s="2">
        <v>0.028</v>
      </c>
      <c r="O26" s="2">
        <v>0.17</v>
      </c>
      <c r="P26" s="2">
        <v>0.553</v>
      </c>
      <c r="Q26" s="2">
        <v>220</v>
      </c>
      <c r="R26" s="2">
        <v>192</v>
      </c>
      <c r="S26" s="2">
        <v>50.7</v>
      </c>
      <c r="T26" s="2">
        <v>63.2</v>
      </c>
    </row>
    <row r="27" ht="14.5" spans="1:20">
      <c r="A27" s="2" t="s">
        <v>79</v>
      </c>
      <c r="B27" s="2" t="s">
        <v>227</v>
      </c>
      <c r="C27" s="2">
        <v>1760</v>
      </c>
      <c r="D27" s="2">
        <v>6.45</v>
      </c>
      <c r="E27" s="2">
        <v>2.39</v>
      </c>
      <c r="F27" s="2">
        <v>169</v>
      </c>
      <c r="G27" s="2">
        <v>1.81</v>
      </c>
      <c r="H27" s="2">
        <v>0.096</v>
      </c>
      <c r="I27" s="2">
        <v>1.05</v>
      </c>
      <c r="J27" s="2">
        <v>0.396</v>
      </c>
      <c r="K27" s="2">
        <v>3.74</v>
      </c>
      <c r="L27" s="2">
        <v>0.117</v>
      </c>
      <c r="M27" s="2">
        <v>246</v>
      </c>
      <c r="N27" s="2">
        <v>0.029</v>
      </c>
      <c r="O27" s="2">
        <v>0.047</v>
      </c>
      <c r="P27" s="2">
        <v>0.295</v>
      </c>
      <c r="Q27" s="2">
        <v>766</v>
      </c>
      <c r="R27" s="2">
        <v>769</v>
      </c>
      <c r="S27" s="2">
        <v>524</v>
      </c>
      <c r="T27" s="2">
        <v>8.31</v>
      </c>
    </row>
    <row r="28" ht="14.5" spans="1:20">
      <c r="A28" s="2" t="s">
        <v>81</v>
      </c>
      <c r="B28" s="2" t="s">
        <v>227</v>
      </c>
      <c r="C28" s="2">
        <v>568</v>
      </c>
      <c r="D28" s="2">
        <v>2.58</v>
      </c>
      <c r="E28" s="2">
        <v>2.26</v>
      </c>
      <c r="F28" s="2">
        <v>127</v>
      </c>
      <c r="G28" s="2">
        <v>1.47</v>
      </c>
      <c r="H28" s="2">
        <v>0.02</v>
      </c>
      <c r="I28" s="2">
        <v>0.332</v>
      </c>
      <c r="J28" s="2">
        <v>0.408</v>
      </c>
      <c r="K28" s="2">
        <v>3.6</v>
      </c>
      <c r="L28" s="2">
        <v>0.075</v>
      </c>
      <c r="M28" s="2">
        <v>43.2</v>
      </c>
      <c r="N28" s="2">
        <v>0.081</v>
      </c>
      <c r="O28" s="2">
        <v>0.025</v>
      </c>
      <c r="P28" s="2">
        <v>0.99</v>
      </c>
      <c r="Q28" s="2">
        <v>0.019</v>
      </c>
      <c r="R28" s="2">
        <v>669</v>
      </c>
      <c r="S28" s="2">
        <v>15.1</v>
      </c>
      <c r="T28" s="9" t="s">
        <v>31</v>
      </c>
    </row>
    <row r="29" ht="14.5" spans="1:20">
      <c r="A29" s="2" t="s">
        <v>83</v>
      </c>
      <c r="B29" s="2">
        <v>1.42</v>
      </c>
      <c r="C29" s="2">
        <v>2204</v>
      </c>
      <c r="D29" s="2">
        <v>8.46</v>
      </c>
      <c r="E29" s="2">
        <v>3.12</v>
      </c>
      <c r="F29" s="2">
        <v>86.4</v>
      </c>
      <c r="G29" s="2">
        <v>1.61</v>
      </c>
      <c r="H29" s="2">
        <v>0.064</v>
      </c>
      <c r="I29" s="2">
        <v>1.43</v>
      </c>
      <c r="J29" s="2">
        <v>0.463</v>
      </c>
      <c r="K29" s="2">
        <v>4.76</v>
      </c>
      <c r="L29" s="2">
        <v>0.196</v>
      </c>
      <c r="M29" s="2">
        <v>298</v>
      </c>
      <c r="N29" s="2">
        <v>0.083</v>
      </c>
      <c r="O29" s="2">
        <v>0.097</v>
      </c>
      <c r="P29" s="2">
        <v>0.283</v>
      </c>
      <c r="Q29" s="2">
        <v>1015</v>
      </c>
      <c r="R29" s="2">
        <v>1134</v>
      </c>
      <c r="S29" s="2">
        <v>1024</v>
      </c>
      <c r="T29" s="2">
        <v>10.6</v>
      </c>
    </row>
    <row r="30" ht="14.5" spans="1:20">
      <c r="A30" s="2" t="s">
        <v>85</v>
      </c>
      <c r="B30" s="2" t="s">
        <v>227</v>
      </c>
      <c r="C30" s="2">
        <v>1476</v>
      </c>
      <c r="D30" s="2">
        <v>7.4</v>
      </c>
      <c r="E30" s="2">
        <v>2.11</v>
      </c>
      <c r="F30" s="2">
        <v>107</v>
      </c>
      <c r="G30" s="2">
        <v>1.35</v>
      </c>
      <c r="H30" s="2">
        <v>0.186</v>
      </c>
      <c r="I30" s="2">
        <v>1.58</v>
      </c>
      <c r="J30" s="2">
        <v>0.263</v>
      </c>
      <c r="K30" s="2">
        <v>3.55</v>
      </c>
      <c r="L30" s="2">
        <v>0.219</v>
      </c>
      <c r="M30" s="2">
        <v>225</v>
      </c>
      <c r="N30" s="2">
        <v>0.009</v>
      </c>
      <c r="O30" s="2">
        <v>0.033</v>
      </c>
      <c r="P30" s="2">
        <v>0.196</v>
      </c>
      <c r="Q30" s="2">
        <v>374</v>
      </c>
      <c r="R30" s="2">
        <v>715</v>
      </c>
      <c r="S30" s="2">
        <v>1833</v>
      </c>
      <c r="T30" s="2">
        <v>6.12</v>
      </c>
    </row>
    <row r="31" ht="14.5" spans="1:20">
      <c r="A31" s="2" t="s">
        <v>87</v>
      </c>
      <c r="B31" s="2" t="s">
        <v>227</v>
      </c>
      <c r="C31" s="2">
        <v>413</v>
      </c>
      <c r="D31" s="2">
        <v>0.972</v>
      </c>
      <c r="E31" s="2">
        <v>0.538</v>
      </c>
      <c r="F31" s="2">
        <v>61.2</v>
      </c>
      <c r="G31" s="2">
        <v>2.34</v>
      </c>
      <c r="H31" s="2">
        <v>0.381</v>
      </c>
      <c r="I31" s="2">
        <v>9.09</v>
      </c>
      <c r="J31" s="2">
        <v>1.55</v>
      </c>
      <c r="K31" s="2">
        <v>3.82</v>
      </c>
      <c r="L31" s="2">
        <v>0.116</v>
      </c>
      <c r="M31" s="2">
        <v>161</v>
      </c>
      <c r="N31" s="2">
        <v>0.195</v>
      </c>
      <c r="O31" s="2">
        <v>0.271</v>
      </c>
      <c r="P31" s="2">
        <v>0.692</v>
      </c>
      <c r="Q31" s="2">
        <v>1321</v>
      </c>
      <c r="R31" s="2">
        <v>564</v>
      </c>
      <c r="S31" s="2">
        <v>9.51</v>
      </c>
      <c r="T31" s="2">
        <v>57.9</v>
      </c>
    </row>
    <row r="32" ht="14.5" spans="1:20">
      <c r="A32" s="2" t="s">
        <v>89</v>
      </c>
      <c r="B32" s="2">
        <v>2.73</v>
      </c>
      <c r="C32" s="2">
        <v>3155</v>
      </c>
      <c r="D32" s="2">
        <v>2.5</v>
      </c>
      <c r="E32" s="2">
        <v>3.17</v>
      </c>
      <c r="F32" s="2">
        <v>7.43</v>
      </c>
      <c r="G32" s="2">
        <v>2.46</v>
      </c>
      <c r="H32" s="2">
        <v>0.201</v>
      </c>
      <c r="I32" s="2">
        <v>2.81</v>
      </c>
      <c r="J32" s="2">
        <v>0.65</v>
      </c>
      <c r="K32" s="2">
        <v>3.52</v>
      </c>
      <c r="L32" s="2">
        <v>0.376</v>
      </c>
      <c r="M32" s="2">
        <v>778</v>
      </c>
      <c r="N32" s="2">
        <v>0.167</v>
      </c>
      <c r="O32" s="2">
        <v>0.163</v>
      </c>
      <c r="P32" s="2">
        <v>0.18</v>
      </c>
      <c r="Q32" s="2">
        <v>1121</v>
      </c>
      <c r="R32" s="2">
        <v>3487</v>
      </c>
      <c r="S32" s="2">
        <v>223</v>
      </c>
      <c r="T32" s="2">
        <v>13.5</v>
      </c>
    </row>
    <row r="33" ht="14.5" spans="1:20">
      <c r="A33" s="2" t="s">
        <v>92</v>
      </c>
      <c r="B33" s="2">
        <v>0.75</v>
      </c>
      <c r="C33" s="2">
        <v>854</v>
      </c>
      <c r="D33" s="2">
        <v>1.12</v>
      </c>
      <c r="E33" s="2">
        <v>2.3</v>
      </c>
      <c r="F33" s="2">
        <v>59.6</v>
      </c>
      <c r="G33" s="2">
        <v>8.41</v>
      </c>
      <c r="H33" s="2">
        <v>0.171</v>
      </c>
      <c r="I33" s="2">
        <v>3.5</v>
      </c>
      <c r="J33" s="2">
        <v>0.547</v>
      </c>
      <c r="K33" s="2">
        <v>0.647</v>
      </c>
      <c r="L33" s="2">
        <v>0.162</v>
      </c>
      <c r="M33" s="2">
        <v>68.9</v>
      </c>
      <c r="N33" s="2">
        <v>0.152</v>
      </c>
      <c r="O33" s="2">
        <v>0.195</v>
      </c>
      <c r="P33" s="2">
        <v>0.169</v>
      </c>
      <c r="Q33" s="2">
        <v>351</v>
      </c>
      <c r="R33" s="9" t="s">
        <v>31</v>
      </c>
      <c r="S33" s="2">
        <v>14.8</v>
      </c>
      <c r="T33" s="2">
        <v>20.9</v>
      </c>
    </row>
    <row r="34" ht="14.5" spans="1:20">
      <c r="A34" s="2" t="s">
        <v>94</v>
      </c>
      <c r="B34" s="2">
        <v>36.7</v>
      </c>
      <c r="C34" s="2">
        <v>2597</v>
      </c>
      <c r="D34" s="2">
        <v>1.8</v>
      </c>
      <c r="E34" s="2">
        <v>2.2</v>
      </c>
      <c r="F34" s="2">
        <v>212</v>
      </c>
      <c r="G34" s="2">
        <v>1.33</v>
      </c>
      <c r="H34" s="2">
        <v>0.096</v>
      </c>
      <c r="I34" s="2">
        <v>2.05</v>
      </c>
      <c r="J34" s="2">
        <v>0.472</v>
      </c>
      <c r="K34" s="2">
        <v>1.22</v>
      </c>
      <c r="L34" s="2">
        <v>0.018</v>
      </c>
      <c r="M34" s="2">
        <v>133</v>
      </c>
      <c r="N34" s="2">
        <v>0.084</v>
      </c>
      <c r="O34" s="2">
        <v>0.103</v>
      </c>
      <c r="P34" s="2">
        <v>0.01</v>
      </c>
      <c r="Q34" s="2">
        <v>963</v>
      </c>
      <c r="R34" s="2">
        <v>3031</v>
      </c>
      <c r="S34" s="2">
        <v>5.55</v>
      </c>
      <c r="T34" s="2">
        <v>18.8</v>
      </c>
    </row>
    <row r="35" ht="14.5" spans="1:20">
      <c r="A35" s="2" t="s">
        <v>96</v>
      </c>
      <c r="B35" s="2" t="s">
        <v>227</v>
      </c>
      <c r="C35" s="2">
        <v>590</v>
      </c>
      <c r="D35" s="2">
        <v>1.59</v>
      </c>
      <c r="E35" s="2">
        <v>1.41</v>
      </c>
      <c r="F35" s="2">
        <v>189</v>
      </c>
      <c r="G35" s="2">
        <v>1.55</v>
      </c>
      <c r="H35" s="2">
        <v>0.142</v>
      </c>
      <c r="I35" s="2">
        <v>1.96</v>
      </c>
      <c r="J35" s="2">
        <v>1.32</v>
      </c>
      <c r="K35" s="9" t="s">
        <v>31</v>
      </c>
      <c r="L35" s="2">
        <v>0.164</v>
      </c>
      <c r="M35" s="2">
        <v>49.2</v>
      </c>
      <c r="N35" s="2">
        <v>0.005</v>
      </c>
      <c r="O35" s="2">
        <v>8.8</v>
      </c>
      <c r="P35" s="2">
        <v>1.06</v>
      </c>
      <c r="Q35" s="2">
        <v>713</v>
      </c>
      <c r="R35" s="2">
        <v>801</v>
      </c>
      <c r="S35" s="2">
        <v>58.6</v>
      </c>
      <c r="T35" s="2">
        <v>14</v>
      </c>
    </row>
    <row r="36" ht="14.5" spans="1:20">
      <c r="A36" s="2" t="s">
        <v>98</v>
      </c>
      <c r="B36" s="2" t="s">
        <v>227</v>
      </c>
      <c r="C36" s="2">
        <v>155</v>
      </c>
      <c r="D36" s="2">
        <v>0.051</v>
      </c>
      <c r="E36" s="2">
        <v>0.943</v>
      </c>
      <c r="F36" s="2">
        <v>51.8</v>
      </c>
      <c r="G36" s="2">
        <v>1.61</v>
      </c>
      <c r="H36" s="2">
        <v>0.084</v>
      </c>
      <c r="I36" s="2">
        <v>1.07</v>
      </c>
      <c r="J36" s="2">
        <v>1.02</v>
      </c>
      <c r="K36" s="2">
        <v>34.7</v>
      </c>
      <c r="L36" s="2">
        <v>0.101</v>
      </c>
      <c r="M36" s="2">
        <v>116</v>
      </c>
      <c r="N36" s="2">
        <v>0.002</v>
      </c>
      <c r="O36" s="2">
        <v>0.178</v>
      </c>
      <c r="P36" s="2">
        <v>0.081</v>
      </c>
      <c r="Q36" s="2">
        <v>677</v>
      </c>
      <c r="R36" s="2">
        <v>400</v>
      </c>
      <c r="S36" s="2">
        <v>33.1</v>
      </c>
      <c r="T36" s="2">
        <v>68.7</v>
      </c>
    </row>
    <row r="37" ht="14.5" spans="1:20">
      <c r="A37" s="2" t="s">
        <v>100</v>
      </c>
      <c r="B37" s="2">
        <v>1.31</v>
      </c>
      <c r="C37" s="2">
        <v>115</v>
      </c>
      <c r="D37" s="2">
        <v>0.567</v>
      </c>
      <c r="E37" s="2">
        <v>29.8</v>
      </c>
      <c r="F37" s="2">
        <v>181</v>
      </c>
      <c r="G37" s="2">
        <v>23.1</v>
      </c>
      <c r="H37" s="2">
        <v>4.7</v>
      </c>
      <c r="I37" s="2">
        <v>13</v>
      </c>
      <c r="J37" s="2">
        <v>14.8</v>
      </c>
      <c r="K37" s="2">
        <v>38.3</v>
      </c>
      <c r="L37" s="2">
        <v>0.386</v>
      </c>
      <c r="M37" s="2">
        <v>199</v>
      </c>
      <c r="N37" s="2">
        <v>0.295</v>
      </c>
      <c r="O37" s="2">
        <v>5.62</v>
      </c>
      <c r="P37" s="2">
        <v>0.966</v>
      </c>
      <c r="Q37" s="2">
        <v>507</v>
      </c>
      <c r="R37" s="2">
        <v>551</v>
      </c>
      <c r="S37" s="9" t="s">
        <v>31</v>
      </c>
      <c r="T37" s="9" t="s">
        <v>31</v>
      </c>
    </row>
    <row r="38" ht="14.5" spans="1:20">
      <c r="A38" s="2" t="s">
        <v>102</v>
      </c>
      <c r="B38" s="2" t="s">
        <v>227</v>
      </c>
      <c r="C38" s="2">
        <v>39.4</v>
      </c>
      <c r="D38" s="2">
        <v>0.262</v>
      </c>
      <c r="E38" s="2">
        <v>1.2</v>
      </c>
      <c r="F38" s="2">
        <v>51.5</v>
      </c>
      <c r="G38" s="9" t="s">
        <v>31</v>
      </c>
      <c r="H38" s="2">
        <v>0.055</v>
      </c>
      <c r="I38" s="2">
        <v>0.619</v>
      </c>
      <c r="J38" s="2">
        <v>1.44</v>
      </c>
      <c r="K38" s="2">
        <v>33</v>
      </c>
      <c r="L38" s="2">
        <v>0.089</v>
      </c>
      <c r="M38" s="2">
        <v>117</v>
      </c>
      <c r="N38" s="2">
        <v>0.002</v>
      </c>
      <c r="O38" s="2">
        <v>0.16</v>
      </c>
      <c r="P38" s="2">
        <v>0.055</v>
      </c>
      <c r="Q38" s="2">
        <v>1245</v>
      </c>
      <c r="R38" s="2">
        <v>143</v>
      </c>
      <c r="S38" s="2">
        <v>68.6</v>
      </c>
      <c r="T38" s="2">
        <v>65</v>
      </c>
    </row>
    <row r="39" ht="14.5" spans="1:20">
      <c r="A39" s="2" t="s">
        <v>104</v>
      </c>
      <c r="B39" s="2" t="s">
        <v>227</v>
      </c>
      <c r="C39" s="2">
        <v>154</v>
      </c>
      <c r="D39" s="2">
        <v>0.084</v>
      </c>
      <c r="E39" s="2">
        <v>0.543</v>
      </c>
      <c r="F39" s="2">
        <v>15.6</v>
      </c>
      <c r="G39" s="2">
        <v>0.405</v>
      </c>
      <c r="H39" s="2">
        <v>0.06</v>
      </c>
      <c r="I39" s="2">
        <v>2.56</v>
      </c>
      <c r="J39" s="2">
        <v>2.15</v>
      </c>
      <c r="K39" s="2">
        <v>1.24</v>
      </c>
      <c r="L39" s="2">
        <v>0.121</v>
      </c>
      <c r="M39" s="2">
        <v>117</v>
      </c>
      <c r="N39" s="2">
        <v>0.007</v>
      </c>
      <c r="O39" s="2">
        <v>0.157</v>
      </c>
      <c r="P39" s="2">
        <v>0.047</v>
      </c>
      <c r="Q39" s="2">
        <v>663</v>
      </c>
      <c r="R39" s="2">
        <v>379</v>
      </c>
      <c r="S39" s="2">
        <v>2238</v>
      </c>
      <c r="T39" s="2">
        <v>5.85</v>
      </c>
    </row>
    <row r="40" ht="14.5" spans="1:20">
      <c r="A40" s="2" t="s">
        <v>106</v>
      </c>
      <c r="B40" s="2" t="s">
        <v>227</v>
      </c>
      <c r="C40" s="2">
        <v>173</v>
      </c>
      <c r="D40" s="2">
        <v>1.74</v>
      </c>
      <c r="E40" s="2">
        <v>2.26</v>
      </c>
      <c r="F40" s="2">
        <v>19.1</v>
      </c>
      <c r="G40" s="2">
        <v>0.496</v>
      </c>
      <c r="H40" s="2">
        <v>0.292</v>
      </c>
      <c r="I40" s="2">
        <v>7.19</v>
      </c>
      <c r="J40" s="2">
        <v>6.13</v>
      </c>
      <c r="K40" s="2">
        <v>7.01</v>
      </c>
      <c r="L40" s="2">
        <v>0.646</v>
      </c>
      <c r="M40" s="2">
        <v>147</v>
      </c>
      <c r="N40" s="2">
        <v>0.035</v>
      </c>
      <c r="O40" s="2">
        <v>0.1</v>
      </c>
      <c r="P40" s="2">
        <v>0.268</v>
      </c>
      <c r="Q40" s="2">
        <v>833</v>
      </c>
      <c r="R40" s="2">
        <v>401</v>
      </c>
      <c r="S40" s="2">
        <v>6.23</v>
      </c>
      <c r="T40" s="2">
        <v>6.59</v>
      </c>
    </row>
    <row r="41" ht="14.5" spans="1:20">
      <c r="A41" s="2" t="s">
        <v>108</v>
      </c>
      <c r="B41" s="2">
        <v>3.15</v>
      </c>
      <c r="C41" s="2">
        <v>1121</v>
      </c>
      <c r="D41" s="2">
        <v>0.113</v>
      </c>
      <c r="E41" s="2">
        <v>0.976</v>
      </c>
      <c r="F41" s="2">
        <v>108</v>
      </c>
      <c r="G41" s="2">
        <v>1.52</v>
      </c>
      <c r="H41" s="2">
        <v>0.175</v>
      </c>
      <c r="I41" s="2">
        <v>1.43</v>
      </c>
      <c r="J41" s="2">
        <v>2.12</v>
      </c>
      <c r="K41" s="2">
        <v>8.56</v>
      </c>
      <c r="L41" s="2">
        <v>1.92</v>
      </c>
      <c r="M41" s="2">
        <v>52.1</v>
      </c>
      <c r="N41" s="2">
        <v>0.002</v>
      </c>
      <c r="O41" s="2">
        <v>0.01</v>
      </c>
      <c r="P41" s="2">
        <v>1.53</v>
      </c>
      <c r="Q41" s="2">
        <v>4016</v>
      </c>
      <c r="R41" s="2">
        <v>3943</v>
      </c>
      <c r="S41" s="2">
        <v>13.5</v>
      </c>
      <c r="T41" s="2">
        <v>5</v>
      </c>
    </row>
    <row r="42" ht="14.5" spans="1:20">
      <c r="A42" s="2" t="s">
        <v>110</v>
      </c>
      <c r="B42" s="2" t="s">
        <v>227</v>
      </c>
      <c r="C42" s="2">
        <v>186</v>
      </c>
      <c r="D42" s="2">
        <v>0.223</v>
      </c>
      <c r="E42" s="2">
        <v>0.976</v>
      </c>
      <c r="F42" s="2">
        <v>18.1</v>
      </c>
      <c r="G42" s="2">
        <v>1.34</v>
      </c>
      <c r="H42" s="2">
        <v>0.066</v>
      </c>
      <c r="I42" s="2">
        <v>0.797</v>
      </c>
      <c r="J42" s="2">
        <v>3.14</v>
      </c>
      <c r="K42" s="2">
        <v>4.51</v>
      </c>
      <c r="L42" s="2">
        <v>0.813</v>
      </c>
      <c r="M42" s="2">
        <v>41.6</v>
      </c>
      <c r="N42" s="2">
        <v>0.009</v>
      </c>
      <c r="O42" s="2">
        <v>0.046</v>
      </c>
      <c r="P42" s="2">
        <v>0.587</v>
      </c>
      <c r="Q42" s="2">
        <v>682</v>
      </c>
      <c r="R42" s="2">
        <v>326</v>
      </c>
      <c r="S42" s="2">
        <v>14.5</v>
      </c>
      <c r="T42" s="2">
        <v>4.93</v>
      </c>
    </row>
    <row r="43" ht="14.5" spans="1:20">
      <c r="A43" s="2" t="s">
        <v>113</v>
      </c>
      <c r="B43" s="2">
        <v>3.5</v>
      </c>
      <c r="C43" s="2">
        <v>61.6</v>
      </c>
      <c r="D43" s="2">
        <v>0.083</v>
      </c>
      <c r="E43" s="2">
        <v>0.164</v>
      </c>
      <c r="F43" s="2">
        <v>0.854</v>
      </c>
      <c r="G43" s="2">
        <v>0.266</v>
      </c>
      <c r="H43" s="2">
        <v>0.026</v>
      </c>
      <c r="I43" s="2">
        <v>0.359</v>
      </c>
      <c r="J43" s="2">
        <v>1.13</v>
      </c>
      <c r="K43" s="2">
        <v>2.33</v>
      </c>
      <c r="L43" s="2">
        <v>52.5</v>
      </c>
      <c r="M43" s="2">
        <v>0.581</v>
      </c>
      <c r="N43" s="2">
        <v>0.022</v>
      </c>
      <c r="O43" s="2">
        <v>3.57</v>
      </c>
      <c r="P43" s="2">
        <v>0.036</v>
      </c>
      <c r="Q43" s="2">
        <v>30.2</v>
      </c>
      <c r="R43" s="2">
        <v>134</v>
      </c>
      <c r="S43" s="2">
        <v>2.17</v>
      </c>
      <c r="T43" s="2">
        <v>45.6</v>
      </c>
    </row>
    <row r="44" ht="14.5" spans="1:20">
      <c r="A44" s="2" t="s">
        <v>115</v>
      </c>
      <c r="B44" s="2">
        <v>17.9</v>
      </c>
      <c r="C44" s="2">
        <v>342</v>
      </c>
      <c r="D44" s="2">
        <v>0.075</v>
      </c>
      <c r="E44" s="2">
        <v>1.17</v>
      </c>
      <c r="F44" s="2">
        <v>1.65</v>
      </c>
      <c r="G44" s="2">
        <v>1.19</v>
      </c>
      <c r="H44" s="2">
        <v>0.02</v>
      </c>
      <c r="I44" s="2">
        <v>0.295</v>
      </c>
      <c r="J44" s="2">
        <v>0.278</v>
      </c>
      <c r="K44" s="2">
        <v>2.08</v>
      </c>
      <c r="L44" s="2">
        <v>29</v>
      </c>
      <c r="M44" s="2">
        <v>1.43</v>
      </c>
      <c r="N44" s="2">
        <v>0.053</v>
      </c>
      <c r="O44" s="2">
        <v>0.231</v>
      </c>
      <c r="P44" s="2">
        <v>0.01</v>
      </c>
      <c r="Q44" s="2">
        <v>41.4</v>
      </c>
      <c r="R44" s="2">
        <v>766</v>
      </c>
      <c r="S44" s="2">
        <v>59.7</v>
      </c>
      <c r="T44" s="2">
        <v>46.6</v>
      </c>
    </row>
    <row r="45" ht="14.5" spans="1:20">
      <c r="A45" s="2" t="s">
        <v>118</v>
      </c>
      <c r="B45" s="2">
        <v>132</v>
      </c>
      <c r="C45" s="2">
        <v>977</v>
      </c>
      <c r="D45" s="2">
        <v>0.144</v>
      </c>
      <c r="E45" s="2">
        <v>33.4</v>
      </c>
      <c r="F45" s="2">
        <v>1754</v>
      </c>
      <c r="G45" s="2">
        <v>5.27</v>
      </c>
      <c r="H45" s="2">
        <v>12.1</v>
      </c>
      <c r="I45" s="2">
        <v>55.9</v>
      </c>
      <c r="J45" s="2">
        <v>5.13</v>
      </c>
      <c r="K45" s="2">
        <v>12</v>
      </c>
      <c r="L45" s="2">
        <v>1.04</v>
      </c>
      <c r="M45" s="2">
        <v>57.1</v>
      </c>
      <c r="N45" s="2">
        <v>0.007</v>
      </c>
      <c r="O45" s="2">
        <v>8.62</v>
      </c>
      <c r="P45" s="2">
        <v>0.963</v>
      </c>
      <c r="Q45" s="2">
        <v>3440</v>
      </c>
      <c r="R45" s="2">
        <v>6366</v>
      </c>
      <c r="S45" s="2">
        <v>7867</v>
      </c>
      <c r="T45" s="2">
        <v>380</v>
      </c>
    </row>
    <row r="46" ht="14.5" spans="1:20">
      <c r="A46" s="2" t="s">
        <v>121</v>
      </c>
      <c r="B46" s="2">
        <v>59</v>
      </c>
      <c r="C46" s="2">
        <v>387</v>
      </c>
      <c r="D46" s="2">
        <v>0.372</v>
      </c>
      <c r="E46" s="2">
        <v>1.3</v>
      </c>
      <c r="F46" s="2">
        <v>120</v>
      </c>
      <c r="G46" s="2">
        <v>1.98</v>
      </c>
      <c r="H46" s="2">
        <v>0.723</v>
      </c>
      <c r="I46" s="2">
        <v>14.4</v>
      </c>
      <c r="J46" s="2">
        <v>1.13</v>
      </c>
      <c r="K46" s="2">
        <v>1.94</v>
      </c>
      <c r="L46" s="2">
        <v>0.345</v>
      </c>
      <c r="M46" s="2">
        <v>69.2</v>
      </c>
      <c r="N46" s="2">
        <v>0.175</v>
      </c>
      <c r="O46" s="2">
        <v>0.077</v>
      </c>
      <c r="P46" s="2">
        <v>0.391</v>
      </c>
      <c r="Q46" s="2">
        <v>1258</v>
      </c>
      <c r="R46" s="2">
        <v>1213</v>
      </c>
      <c r="S46" s="2">
        <v>300</v>
      </c>
      <c r="T46" s="2">
        <v>4.37</v>
      </c>
    </row>
    <row r="47" ht="14.5" spans="1:20">
      <c r="A47" s="2" t="s">
        <v>124</v>
      </c>
      <c r="B47" s="2">
        <v>68</v>
      </c>
      <c r="C47" s="2">
        <v>454</v>
      </c>
      <c r="D47" s="2">
        <v>0.649</v>
      </c>
      <c r="E47" s="2">
        <v>0.765</v>
      </c>
      <c r="F47" s="2">
        <v>12.5</v>
      </c>
      <c r="G47" s="2">
        <v>1.3</v>
      </c>
      <c r="H47" s="2">
        <v>0.326</v>
      </c>
      <c r="I47" s="2">
        <v>6.16</v>
      </c>
      <c r="J47" s="2">
        <v>1.57</v>
      </c>
      <c r="K47" s="2">
        <v>3.67</v>
      </c>
      <c r="L47" s="2">
        <v>0.216</v>
      </c>
      <c r="M47" s="2">
        <v>45.2</v>
      </c>
      <c r="N47" s="2">
        <v>0.166</v>
      </c>
      <c r="O47" s="2">
        <v>0.12</v>
      </c>
      <c r="P47" s="2">
        <v>0.248</v>
      </c>
      <c r="Q47" s="2">
        <v>1441</v>
      </c>
      <c r="R47" s="2">
        <v>1122</v>
      </c>
      <c r="S47" s="2">
        <v>367</v>
      </c>
      <c r="T47" s="2">
        <v>14.8</v>
      </c>
    </row>
    <row r="48" ht="14.5" spans="1:20">
      <c r="A48" s="2" t="s">
        <v>126</v>
      </c>
      <c r="B48" s="2">
        <v>120</v>
      </c>
      <c r="C48" s="2">
        <v>1232</v>
      </c>
      <c r="D48" s="2">
        <v>0.492</v>
      </c>
      <c r="E48" s="2">
        <v>2.87</v>
      </c>
      <c r="F48" s="2">
        <v>27.4</v>
      </c>
      <c r="G48" s="2">
        <v>1.94</v>
      </c>
      <c r="H48" s="2">
        <v>0.206</v>
      </c>
      <c r="I48" s="2">
        <v>3.46</v>
      </c>
      <c r="J48" s="2">
        <v>1.64</v>
      </c>
      <c r="K48" s="2">
        <v>3.41</v>
      </c>
      <c r="L48" s="2">
        <v>0.082</v>
      </c>
      <c r="M48" s="2">
        <v>47.4</v>
      </c>
      <c r="N48" s="2">
        <v>0.006</v>
      </c>
      <c r="O48" s="2">
        <v>0.003</v>
      </c>
      <c r="P48" s="2">
        <v>0.017</v>
      </c>
      <c r="Q48" s="2">
        <v>1663</v>
      </c>
      <c r="R48" s="2">
        <v>4171</v>
      </c>
      <c r="S48" s="2">
        <v>381</v>
      </c>
      <c r="T48" s="2">
        <v>6.44</v>
      </c>
    </row>
    <row r="49" ht="14.5" spans="1:20">
      <c r="A49" s="2" t="s">
        <v>129</v>
      </c>
      <c r="B49" s="2">
        <v>226.6</v>
      </c>
      <c r="C49" s="2">
        <v>2425</v>
      </c>
      <c r="D49" s="9" t="s">
        <v>31</v>
      </c>
      <c r="E49" s="2">
        <v>10.66</v>
      </c>
      <c r="F49" s="2">
        <v>1.89</v>
      </c>
      <c r="G49" s="2">
        <v>0.31</v>
      </c>
      <c r="H49" s="2">
        <v>0.24</v>
      </c>
      <c r="I49" s="2">
        <v>3.29</v>
      </c>
      <c r="J49" s="2">
        <v>0.35</v>
      </c>
      <c r="K49" s="2">
        <v>6.42</v>
      </c>
      <c r="L49" s="2">
        <v>90.92</v>
      </c>
      <c r="M49" s="2">
        <v>17.66</v>
      </c>
      <c r="N49" s="9" t="s">
        <v>31</v>
      </c>
      <c r="O49" s="9" t="s">
        <v>31</v>
      </c>
      <c r="P49" s="2">
        <v>2.18</v>
      </c>
      <c r="Q49" s="2">
        <v>6780</v>
      </c>
      <c r="R49" s="9" t="s">
        <v>31</v>
      </c>
      <c r="S49" s="2">
        <v>716.6</v>
      </c>
      <c r="T49" s="9" t="s">
        <v>31</v>
      </c>
    </row>
    <row r="50" ht="14.5" spans="1:20">
      <c r="A50" s="2" t="s">
        <v>132</v>
      </c>
      <c r="B50" s="2">
        <v>29.6</v>
      </c>
      <c r="C50" s="2">
        <v>174</v>
      </c>
      <c r="D50" s="2">
        <v>0.022</v>
      </c>
      <c r="E50" s="2">
        <v>11.1</v>
      </c>
      <c r="F50" s="2">
        <v>4.38</v>
      </c>
      <c r="G50" s="2">
        <v>2.37</v>
      </c>
      <c r="H50" s="2">
        <v>0.727</v>
      </c>
      <c r="I50" s="2">
        <v>19.1</v>
      </c>
      <c r="J50" s="2">
        <v>3.56</v>
      </c>
      <c r="K50" s="2">
        <v>4.75</v>
      </c>
      <c r="L50" s="2">
        <v>11.6</v>
      </c>
      <c r="M50" s="2">
        <v>35.3</v>
      </c>
      <c r="N50" s="2">
        <v>0.002</v>
      </c>
      <c r="O50" s="2">
        <v>0.102</v>
      </c>
      <c r="P50" s="2">
        <v>2.47</v>
      </c>
      <c r="Q50" s="2">
        <v>3338</v>
      </c>
      <c r="R50" s="2">
        <v>1309</v>
      </c>
      <c r="S50" s="2">
        <v>19.8</v>
      </c>
      <c r="T50" s="2">
        <v>4.42</v>
      </c>
    </row>
    <row r="51" ht="14.5" spans="1:20">
      <c r="A51" s="2" t="s">
        <v>134</v>
      </c>
      <c r="B51" s="2">
        <v>1.11</v>
      </c>
      <c r="C51" s="2">
        <v>36.6</v>
      </c>
      <c r="D51" s="2">
        <v>0.022</v>
      </c>
      <c r="E51" s="2">
        <v>0.765</v>
      </c>
      <c r="F51" s="2">
        <v>1.16</v>
      </c>
      <c r="G51" s="2">
        <v>1.65</v>
      </c>
      <c r="H51" s="2">
        <v>0.008</v>
      </c>
      <c r="I51" s="2">
        <v>0.2</v>
      </c>
      <c r="J51" s="2">
        <v>0.3</v>
      </c>
      <c r="K51" s="2">
        <v>0.853</v>
      </c>
      <c r="L51" s="2">
        <v>7.55</v>
      </c>
      <c r="M51" s="2">
        <v>1.15</v>
      </c>
      <c r="N51" s="2">
        <v>0.002</v>
      </c>
      <c r="O51" s="2">
        <v>0.183</v>
      </c>
      <c r="P51" s="2">
        <v>0.003</v>
      </c>
      <c r="Q51" s="2">
        <v>42.4</v>
      </c>
      <c r="R51" s="2">
        <v>129</v>
      </c>
      <c r="S51" s="2">
        <v>16.8</v>
      </c>
      <c r="T51" s="2">
        <v>18.1</v>
      </c>
    </row>
    <row r="52" ht="14.5" spans="1:20">
      <c r="A52" s="2" t="s">
        <v>136</v>
      </c>
      <c r="B52" s="2">
        <v>11.9</v>
      </c>
      <c r="C52" s="2">
        <v>21.8</v>
      </c>
      <c r="D52" s="2">
        <v>0.055</v>
      </c>
      <c r="E52" s="2">
        <v>0.613</v>
      </c>
      <c r="F52" s="2">
        <v>0.381</v>
      </c>
      <c r="G52" s="2">
        <v>0.592</v>
      </c>
      <c r="H52" s="2">
        <v>0.093</v>
      </c>
      <c r="I52" s="2">
        <v>2.24</v>
      </c>
      <c r="J52" s="2">
        <v>1.31</v>
      </c>
      <c r="K52" s="2">
        <v>4.43</v>
      </c>
      <c r="L52" s="2">
        <v>1.05</v>
      </c>
      <c r="M52" s="2">
        <v>30.8</v>
      </c>
      <c r="N52" s="2">
        <v>0.035</v>
      </c>
      <c r="O52" s="2">
        <v>0.072</v>
      </c>
      <c r="P52" s="2">
        <v>0.817</v>
      </c>
      <c r="Q52" s="2">
        <v>330</v>
      </c>
      <c r="R52" s="2">
        <v>64.2</v>
      </c>
      <c r="S52" s="2">
        <v>8.25</v>
      </c>
      <c r="T52" s="2">
        <v>14.5</v>
      </c>
    </row>
    <row r="53" ht="14.5" spans="1:20">
      <c r="A53" s="2" t="s">
        <v>139</v>
      </c>
      <c r="B53" s="2">
        <v>75.9</v>
      </c>
      <c r="C53" s="2">
        <v>238</v>
      </c>
      <c r="D53" s="2">
        <v>0.143</v>
      </c>
      <c r="E53" s="2">
        <v>1.43</v>
      </c>
      <c r="F53" s="2">
        <v>4.81</v>
      </c>
      <c r="G53" s="2">
        <v>1.84</v>
      </c>
      <c r="H53" s="2">
        <v>0.373</v>
      </c>
      <c r="I53" s="2">
        <v>7.63</v>
      </c>
      <c r="J53" s="2">
        <v>2.07</v>
      </c>
      <c r="K53" s="2">
        <v>3.19</v>
      </c>
      <c r="L53" s="2">
        <v>0.36</v>
      </c>
      <c r="M53" s="2">
        <v>60.2</v>
      </c>
      <c r="N53" s="2">
        <v>0.044</v>
      </c>
      <c r="O53" s="2">
        <v>0.131</v>
      </c>
      <c r="P53" s="2">
        <v>0.3</v>
      </c>
      <c r="Q53" s="2">
        <v>1517</v>
      </c>
      <c r="R53" s="2">
        <v>648</v>
      </c>
      <c r="S53" s="2">
        <v>550</v>
      </c>
      <c r="T53" s="2">
        <v>39.2</v>
      </c>
    </row>
    <row r="54" ht="14.5" spans="1:20">
      <c r="A54" s="2" t="s">
        <v>142</v>
      </c>
      <c r="B54" s="2">
        <v>530</v>
      </c>
      <c r="C54" s="2">
        <v>836</v>
      </c>
      <c r="D54" s="2">
        <v>2.65</v>
      </c>
      <c r="E54" s="2">
        <v>1.08</v>
      </c>
      <c r="F54" s="2">
        <v>59.2</v>
      </c>
      <c r="G54" s="2">
        <v>2.65</v>
      </c>
      <c r="H54" s="2">
        <v>0.813</v>
      </c>
      <c r="I54" s="2">
        <v>19</v>
      </c>
      <c r="J54" s="2">
        <v>5.62</v>
      </c>
      <c r="K54" s="2">
        <v>5.61</v>
      </c>
      <c r="L54" s="2">
        <v>0.502</v>
      </c>
      <c r="M54" s="2">
        <v>40.8</v>
      </c>
      <c r="N54" s="2">
        <v>0.062</v>
      </c>
      <c r="O54" s="2">
        <v>0.009</v>
      </c>
      <c r="P54" s="2">
        <v>0.243</v>
      </c>
      <c r="Q54" s="2">
        <v>3728</v>
      </c>
      <c r="R54" s="2">
        <v>3639</v>
      </c>
      <c r="S54" s="2">
        <v>1567</v>
      </c>
      <c r="T54" s="2">
        <v>19.1</v>
      </c>
    </row>
    <row r="55" ht="14.5" spans="1:20">
      <c r="A55" s="2" t="s">
        <v>145</v>
      </c>
      <c r="B55" s="2">
        <v>4.81</v>
      </c>
      <c r="C55" s="2">
        <v>6.49</v>
      </c>
      <c r="D55" s="2">
        <v>0.036</v>
      </c>
      <c r="E55" s="2">
        <v>0.288</v>
      </c>
      <c r="F55" s="2">
        <v>0.197</v>
      </c>
      <c r="G55" s="2">
        <v>1.61</v>
      </c>
      <c r="H55" s="2">
        <v>0.137</v>
      </c>
      <c r="I55" s="2">
        <v>3.73</v>
      </c>
      <c r="J55" s="2">
        <v>0.642</v>
      </c>
      <c r="K55" s="2">
        <v>1.24</v>
      </c>
      <c r="L55" s="2">
        <v>1.27</v>
      </c>
      <c r="M55" s="2">
        <v>101</v>
      </c>
      <c r="N55" s="2">
        <v>0.007</v>
      </c>
      <c r="O55" s="2">
        <v>0.115</v>
      </c>
      <c r="P55" s="2">
        <v>0.524</v>
      </c>
      <c r="Q55" s="2">
        <v>286</v>
      </c>
      <c r="R55" s="2">
        <v>11.1</v>
      </c>
      <c r="S55" s="2">
        <v>21.4</v>
      </c>
      <c r="T55" s="2">
        <v>3.42</v>
      </c>
    </row>
    <row r="56" ht="14.5" spans="1:20">
      <c r="A56" s="2" t="s">
        <v>147</v>
      </c>
      <c r="B56" s="2">
        <v>59.4</v>
      </c>
      <c r="C56" s="2">
        <v>649</v>
      </c>
      <c r="D56" s="2">
        <v>0.241</v>
      </c>
      <c r="E56" s="2">
        <v>2.33</v>
      </c>
      <c r="F56" s="2">
        <v>1.32</v>
      </c>
      <c r="G56" s="2">
        <v>1.81</v>
      </c>
      <c r="H56" s="2">
        <v>0.459</v>
      </c>
      <c r="I56" s="2">
        <v>12.2</v>
      </c>
      <c r="J56" s="2">
        <v>4.09</v>
      </c>
      <c r="K56" s="2">
        <v>22.9</v>
      </c>
      <c r="L56" s="2">
        <v>1.43</v>
      </c>
      <c r="M56" s="2">
        <v>123</v>
      </c>
      <c r="N56" s="2">
        <v>0.096</v>
      </c>
      <c r="O56" s="2">
        <v>0.294</v>
      </c>
      <c r="P56" s="2">
        <v>1.13</v>
      </c>
      <c r="Q56" s="2">
        <v>3614</v>
      </c>
      <c r="R56" s="2">
        <v>1388</v>
      </c>
      <c r="S56" s="2">
        <v>73.1</v>
      </c>
      <c r="T56" s="2">
        <v>10.3</v>
      </c>
    </row>
    <row r="57" ht="14.5" spans="1:20">
      <c r="A57" s="2" t="s">
        <v>150</v>
      </c>
      <c r="B57" s="2">
        <v>82.2</v>
      </c>
      <c r="C57" s="2">
        <v>1515</v>
      </c>
      <c r="D57" s="2">
        <v>3.83</v>
      </c>
      <c r="E57" s="2">
        <v>6</v>
      </c>
      <c r="F57" s="2">
        <v>54.4</v>
      </c>
      <c r="G57" s="2">
        <v>2.99</v>
      </c>
      <c r="H57" s="2">
        <v>0.866</v>
      </c>
      <c r="I57" s="2">
        <v>21.6</v>
      </c>
      <c r="J57" s="2">
        <v>5.61</v>
      </c>
      <c r="K57" s="2">
        <v>3.18</v>
      </c>
      <c r="L57" s="2">
        <v>0.101</v>
      </c>
      <c r="M57" s="2">
        <v>48.5</v>
      </c>
      <c r="N57" s="2">
        <v>1.78</v>
      </c>
      <c r="O57" s="2">
        <v>0.031</v>
      </c>
      <c r="P57" s="2">
        <v>0.053</v>
      </c>
      <c r="Q57" s="2">
        <v>5861</v>
      </c>
      <c r="R57" s="2">
        <v>3005</v>
      </c>
      <c r="S57" s="2">
        <v>1045</v>
      </c>
      <c r="T57" s="2">
        <v>13.3</v>
      </c>
    </row>
    <row r="58" ht="14.5" spans="1:20">
      <c r="A58" s="2" t="s">
        <v>153</v>
      </c>
      <c r="B58" s="2">
        <v>38.5</v>
      </c>
      <c r="C58" s="2">
        <v>125</v>
      </c>
      <c r="D58" s="2">
        <v>0.045</v>
      </c>
      <c r="E58" s="2">
        <v>3.63</v>
      </c>
      <c r="F58" s="2">
        <v>0.255</v>
      </c>
      <c r="G58" s="2">
        <v>1.65</v>
      </c>
      <c r="H58" s="2">
        <v>0.441</v>
      </c>
      <c r="I58" s="2">
        <v>11</v>
      </c>
      <c r="J58" s="2">
        <v>1.05</v>
      </c>
      <c r="K58" s="2">
        <v>1.19</v>
      </c>
      <c r="L58" s="2">
        <v>0.73</v>
      </c>
      <c r="M58" s="2">
        <v>114</v>
      </c>
      <c r="N58" s="2">
        <v>0.046</v>
      </c>
      <c r="O58" s="2">
        <v>0.11</v>
      </c>
      <c r="P58" s="2">
        <v>1.58</v>
      </c>
      <c r="Q58" s="2">
        <v>1083</v>
      </c>
      <c r="R58" s="2">
        <v>351</v>
      </c>
      <c r="S58" s="2">
        <v>4.23</v>
      </c>
      <c r="T58" s="2">
        <v>4.72</v>
      </c>
    </row>
    <row r="59" ht="14.5" spans="1:20">
      <c r="A59" s="2" t="s">
        <v>156</v>
      </c>
      <c r="B59" s="2">
        <v>40.4</v>
      </c>
      <c r="C59" s="2">
        <v>547</v>
      </c>
      <c r="D59" s="2">
        <v>2.45</v>
      </c>
      <c r="E59" s="2">
        <v>2.09</v>
      </c>
      <c r="F59" s="2">
        <v>209</v>
      </c>
      <c r="G59" s="2">
        <v>4.39</v>
      </c>
      <c r="H59" s="2">
        <v>1.21</v>
      </c>
      <c r="I59" s="2">
        <v>25.5</v>
      </c>
      <c r="J59" s="2">
        <v>5.44</v>
      </c>
      <c r="K59" s="2">
        <v>7.88</v>
      </c>
      <c r="L59" s="2">
        <v>0.024</v>
      </c>
      <c r="M59" s="2">
        <v>38.2</v>
      </c>
      <c r="N59" s="2">
        <v>0.195</v>
      </c>
      <c r="O59" s="2">
        <v>0.015</v>
      </c>
      <c r="P59" s="2">
        <v>0.448</v>
      </c>
      <c r="Q59" s="2">
        <v>2648</v>
      </c>
      <c r="R59" s="2">
        <v>655</v>
      </c>
      <c r="S59" s="2">
        <v>353</v>
      </c>
      <c r="T59" s="2">
        <v>14.9</v>
      </c>
    </row>
    <row r="60" ht="14.5" spans="1:20">
      <c r="A60" s="2" t="s">
        <v>159</v>
      </c>
      <c r="B60" s="2">
        <v>4.12</v>
      </c>
      <c r="C60" s="2">
        <v>35</v>
      </c>
      <c r="D60" s="2">
        <v>0.017</v>
      </c>
      <c r="E60" s="2">
        <v>0.712</v>
      </c>
      <c r="F60" s="2">
        <v>3.27</v>
      </c>
      <c r="G60" s="2">
        <v>1.99</v>
      </c>
      <c r="H60" s="2">
        <v>0.381</v>
      </c>
      <c r="I60" s="2">
        <v>8.25</v>
      </c>
      <c r="J60" s="2">
        <v>2.16</v>
      </c>
      <c r="K60" s="2">
        <v>9.95</v>
      </c>
      <c r="L60" s="2">
        <v>9.43</v>
      </c>
      <c r="M60" s="2">
        <v>95.3</v>
      </c>
      <c r="N60" s="2">
        <v>2.12</v>
      </c>
      <c r="O60" s="2">
        <v>0.373</v>
      </c>
      <c r="P60" s="2">
        <v>2.31</v>
      </c>
      <c r="Q60" s="2">
        <v>848</v>
      </c>
      <c r="R60" s="2">
        <v>84.2</v>
      </c>
      <c r="S60" s="2">
        <v>126</v>
      </c>
      <c r="T60" s="2">
        <v>40.8</v>
      </c>
    </row>
    <row r="61" ht="14.5" spans="1:20">
      <c r="A61" s="2" t="s">
        <v>162</v>
      </c>
      <c r="B61" s="2">
        <v>0.9</v>
      </c>
      <c r="C61" s="2">
        <v>81.3</v>
      </c>
      <c r="D61" s="2">
        <v>0.012</v>
      </c>
      <c r="E61" s="2">
        <v>0.221</v>
      </c>
      <c r="F61" s="2">
        <v>2.85</v>
      </c>
      <c r="G61" s="2">
        <v>1.43</v>
      </c>
      <c r="H61" s="2">
        <v>0.373</v>
      </c>
      <c r="I61" s="2">
        <v>8.58</v>
      </c>
      <c r="J61" s="2">
        <v>4.06</v>
      </c>
      <c r="K61" s="2">
        <v>13.6</v>
      </c>
      <c r="L61" s="2">
        <v>2.24</v>
      </c>
      <c r="M61" s="2">
        <v>27.9</v>
      </c>
      <c r="N61" s="2">
        <v>0.944</v>
      </c>
      <c r="O61" s="2">
        <v>0.02</v>
      </c>
      <c r="P61" s="2">
        <v>4.51</v>
      </c>
      <c r="Q61" s="2">
        <v>1567</v>
      </c>
      <c r="R61" s="2">
        <v>150</v>
      </c>
      <c r="S61" s="2">
        <v>86</v>
      </c>
      <c r="T61" s="2">
        <v>5.33</v>
      </c>
    </row>
    <row r="62" ht="14.5" spans="1:20">
      <c r="A62" s="2" t="s">
        <v>165</v>
      </c>
      <c r="B62" s="2">
        <v>5.66</v>
      </c>
      <c r="C62" s="2">
        <v>476</v>
      </c>
      <c r="D62" s="2">
        <v>1.61</v>
      </c>
      <c r="E62" s="2">
        <v>2.63</v>
      </c>
      <c r="F62" s="2">
        <v>17.2</v>
      </c>
      <c r="G62" s="2">
        <v>4.51</v>
      </c>
      <c r="H62" s="2">
        <v>0.757</v>
      </c>
      <c r="I62" s="2">
        <v>20</v>
      </c>
      <c r="J62" s="2">
        <v>3.98</v>
      </c>
      <c r="K62" s="2">
        <v>10.4</v>
      </c>
      <c r="L62" s="2">
        <v>0.239</v>
      </c>
      <c r="M62" s="2">
        <v>44.6</v>
      </c>
      <c r="N62" s="2">
        <v>0.697</v>
      </c>
      <c r="O62" s="2">
        <v>0.048</v>
      </c>
      <c r="P62" s="2">
        <v>1.75</v>
      </c>
      <c r="Q62" s="2">
        <v>1484</v>
      </c>
      <c r="R62" s="2">
        <v>1672</v>
      </c>
      <c r="S62" s="2">
        <v>48.1</v>
      </c>
      <c r="T62" s="2">
        <v>6.58</v>
      </c>
    </row>
    <row r="63" ht="14.5" spans="1:20">
      <c r="A63" s="2" t="s">
        <v>168</v>
      </c>
      <c r="B63" s="2">
        <v>3.79</v>
      </c>
      <c r="C63" s="2">
        <v>187</v>
      </c>
      <c r="D63" s="2">
        <v>0.564</v>
      </c>
      <c r="E63" s="2">
        <v>1.33</v>
      </c>
      <c r="F63" s="2">
        <v>227</v>
      </c>
      <c r="G63" s="2">
        <v>2.17</v>
      </c>
      <c r="H63" s="2">
        <v>0.56</v>
      </c>
      <c r="I63" s="2">
        <v>9.14</v>
      </c>
      <c r="J63" s="2">
        <v>1.73</v>
      </c>
      <c r="K63" s="2">
        <v>15.9</v>
      </c>
      <c r="L63" s="2">
        <v>0.174</v>
      </c>
      <c r="M63" s="2">
        <v>78.1</v>
      </c>
      <c r="N63" s="2">
        <v>0.075</v>
      </c>
      <c r="O63" s="2">
        <v>0.037</v>
      </c>
      <c r="P63" s="2">
        <v>0.438</v>
      </c>
      <c r="Q63" s="2">
        <v>1068</v>
      </c>
      <c r="R63" s="2">
        <v>489</v>
      </c>
      <c r="S63" s="2">
        <v>1008</v>
      </c>
      <c r="T63" s="2">
        <v>5.4</v>
      </c>
    </row>
    <row r="64" ht="14.5" spans="1:20">
      <c r="A64" s="2" t="s">
        <v>170</v>
      </c>
      <c r="B64" s="2">
        <v>1.32</v>
      </c>
      <c r="C64" s="2">
        <v>103</v>
      </c>
      <c r="D64" s="2">
        <v>0.021</v>
      </c>
      <c r="E64" s="2">
        <v>0.808</v>
      </c>
      <c r="F64" s="2">
        <v>88.3</v>
      </c>
      <c r="G64" s="2">
        <v>1.97</v>
      </c>
      <c r="H64" s="2">
        <v>0.454</v>
      </c>
      <c r="I64" s="2">
        <v>5.96</v>
      </c>
      <c r="J64" s="2">
        <v>2.17</v>
      </c>
      <c r="K64" s="2">
        <v>5.86</v>
      </c>
      <c r="L64" s="2">
        <v>5.97</v>
      </c>
      <c r="M64" s="2">
        <v>78.6</v>
      </c>
      <c r="N64" s="2">
        <v>0.642</v>
      </c>
      <c r="O64" s="2">
        <v>0.051</v>
      </c>
      <c r="P64" s="2">
        <v>1.78</v>
      </c>
      <c r="Q64" s="2">
        <v>796</v>
      </c>
      <c r="R64" s="2">
        <v>535</v>
      </c>
      <c r="S64" s="2">
        <v>352</v>
      </c>
      <c r="T64" s="2">
        <v>16.8</v>
      </c>
    </row>
    <row r="65" ht="14.5" spans="1:20">
      <c r="A65" s="2" t="s">
        <v>173</v>
      </c>
      <c r="B65" s="2">
        <v>2.24</v>
      </c>
      <c r="C65" s="2">
        <v>661</v>
      </c>
      <c r="D65" s="2">
        <v>0.019</v>
      </c>
      <c r="E65" s="2">
        <v>4.66</v>
      </c>
      <c r="F65" s="2">
        <v>2.36</v>
      </c>
      <c r="G65" s="2">
        <v>1.83</v>
      </c>
      <c r="H65" s="2">
        <v>0.066</v>
      </c>
      <c r="I65" s="2">
        <v>1.26</v>
      </c>
      <c r="J65" s="2">
        <v>0.901</v>
      </c>
      <c r="K65" s="2">
        <v>4.14</v>
      </c>
      <c r="L65" s="2">
        <v>0.911</v>
      </c>
      <c r="M65" s="2">
        <v>142</v>
      </c>
      <c r="N65" s="2">
        <v>0.19</v>
      </c>
      <c r="O65" s="2">
        <v>0.051</v>
      </c>
      <c r="P65" s="2">
        <v>0.443</v>
      </c>
      <c r="Q65" s="2">
        <v>242</v>
      </c>
      <c r="R65" s="2">
        <v>4262</v>
      </c>
      <c r="S65" s="2">
        <v>62.4</v>
      </c>
      <c r="T65" s="2">
        <v>12</v>
      </c>
    </row>
    <row r="66" ht="14.5" spans="1:20">
      <c r="A66" s="2" t="s">
        <v>175</v>
      </c>
      <c r="B66" s="2">
        <v>0.77</v>
      </c>
      <c r="C66" s="2">
        <v>38.8</v>
      </c>
      <c r="D66" s="2">
        <v>0.007</v>
      </c>
      <c r="E66" s="2">
        <v>2.35</v>
      </c>
      <c r="F66" s="2">
        <v>1.02</v>
      </c>
      <c r="G66" s="2">
        <v>2.13</v>
      </c>
      <c r="H66" s="2">
        <v>0.188</v>
      </c>
      <c r="I66" s="2">
        <v>4.3</v>
      </c>
      <c r="J66" s="2">
        <v>0.8</v>
      </c>
      <c r="K66" s="2">
        <v>3.52</v>
      </c>
      <c r="L66" s="2">
        <v>3.21</v>
      </c>
      <c r="M66" s="2">
        <v>61.7</v>
      </c>
      <c r="N66" s="2">
        <v>0.01</v>
      </c>
      <c r="O66" s="2">
        <v>0.01</v>
      </c>
      <c r="P66" s="2">
        <v>1.28</v>
      </c>
      <c r="Q66" s="2">
        <v>255</v>
      </c>
      <c r="R66" s="2">
        <v>320</v>
      </c>
      <c r="S66" s="2">
        <v>41.3</v>
      </c>
      <c r="T66" s="2">
        <v>6.03</v>
      </c>
    </row>
    <row r="67" ht="14.5" spans="1:20">
      <c r="A67" s="2" t="s">
        <v>177</v>
      </c>
      <c r="B67" s="2">
        <v>0.6</v>
      </c>
      <c r="C67" s="2">
        <v>37.4</v>
      </c>
      <c r="D67" s="2">
        <v>0.004</v>
      </c>
      <c r="E67" s="2">
        <v>11.1</v>
      </c>
      <c r="F67" s="2">
        <v>27.1</v>
      </c>
      <c r="G67" s="2">
        <v>2.38</v>
      </c>
      <c r="H67" s="2">
        <v>0.248</v>
      </c>
      <c r="I67" s="2">
        <v>2.89</v>
      </c>
      <c r="J67" s="2">
        <v>1.33</v>
      </c>
      <c r="K67" s="2">
        <v>2.06</v>
      </c>
      <c r="L67" s="2">
        <v>4.38</v>
      </c>
      <c r="M67" s="2">
        <v>13.7</v>
      </c>
      <c r="N67" s="2" t="s">
        <v>228</v>
      </c>
      <c r="O67" s="2">
        <v>0.24</v>
      </c>
      <c r="P67" s="2">
        <v>0.279</v>
      </c>
      <c r="Q67" s="2">
        <v>449</v>
      </c>
      <c r="R67" s="2">
        <v>684</v>
      </c>
      <c r="S67" s="2">
        <v>2298</v>
      </c>
      <c r="T67" s="2">
        <v>140</v>
      </c>
    </row>
    <row r="68" ht="14.5" spans="1:20">
      <c r="A68" s="2" t="s">
        <v>179</v>
      </c>
      <c r="B68" s="2">
        <v>349</v>
      </c>
      <c r="C68" s="2">
        <v>872</v>
      </c>
      <c r="D68" s="2">
        <v>0.586</v>
      </c>
      <c r="E68" s="2">
        <v>1.76</v>
      </c>
      <c r="F68" s="2">
        <v>48.8</v>
      </c>
      <c r="G68" s="2">
        <v>1.46</v>
      </c>
      <c r="H68" s="2">
        <v>0.811</v>
      </c>
      <c r="I68" s="2">
        <v>9.7</v>
      </c>
      <c r="J68" s="2">
        <v>3.2</v>
      </c>
      <c r="K68" s="2">
        <v>8.01</v>
      </c>
      <c r="L68" s="2">
        <v>0.876</v>
      </c>
      <c r="M68" s="2">
        <v>51.5</v>
      </c>
      <c r="N68" s="2">
        <v>0.408</v>
      </c>
      <c r="O68" s="2">
        <v>0.069</v>
      </c>
      <c r="P68" s="2">
        <v>0.508</v>
      </c>
      <c r="Q68" s="2">
        <v>2815</v>
      </c>
      <c r="R68" s="2">
        <v>2990</v>
      </c>
      <c r="S68" s="2">
        <v>10480</v>
      </c>
      <c r="T68" s="2">
        <v>65.8</v>
      </c>
    </row>
    <row r="69" ht="14.5" spans="1:20">
      <c r="A69" s="2" t="s">
        <v>182</v>
      </c>
      <c r="B69" s="2">
        <v>2.38</v>
      </c>
      <c r="C69" s="2">
        <v>28</v>
      </c>
      <c r="D69" s="2">
        <v>0.016</v>
      </c>
      <c r="E69" s="2">
        <v>5.39</v>
      </c>
      <c r="F69" s="2">
        <v>1.92</v>
      </c>
      <c r="G69" s="2">
        <v>3.29</v>
      </c>
      <c r="H69" s="2">
        <v>0.136</v>
      </c>
      <c r="I69" s="2">
        <v>1.26</v>
      </c>
      <c r="J69" s="2">
        <v>0.723</v>
      </c>
      <c r="K69" s="2">
        <v>3.67</v>
      </c>
      <c r="L69" s="2">
        <v>0.513</v>
      </c>
      <c r="M69" s="2">
        <v>54</v>
      </c>
      <c r="N69" s="2">
        <v>0.016</v>
      </c>
      <c r="O69" s="2">
        <v>0.054</v>
      </c>
      <c r="P69" s="2">
        <v>0.253</v>
      </c>
      <c r="Q69" s="2">
        <v>288</v>
      </c>
      <c r="R69" s="2">
        <v>101</v>
      </c>
      <c r="S69" s="2">
        <v>727</v>
      </c>
      <c r="T69" s="2">
        <v>55.3</v>
      </c>
    </row>
    <row r="70" ht="14.5" spans="1:20">
      <c r="A70" s="2" t="s">
        <v>184</v>
      </c>
      <c r="B70" s="2">
        <v>11</v>
      </c>
      <c r="C70" s="2">
        <v>162</v>
      </c>
      <c r="D70" s="2">
        <v>0.233</v>
      </c>
      <c r="E70" s="2">
        <v>0.139</v>
      </c>
      <c r="F70" s="2">
        <v>32.3</v>
      </c>
      <c r="G70" s="2">
        <v>1.53</v>
      </c>
      <c r="H70" s="2">
        <v>0.534</v>
      </c>
      <c r="I70" s="2">
        <v>12.8</v>
      </c>
      <c r="J70" s="2">
        <v>5.43</v>
      </c>
      <c r="K70" s="2">
        <v>5.66</v>
      </c>
      <c r="L70" s="2">
        <v>0.875</v>
      </c>
      <c r="M70" s="2">
        <v>27</v>
      </c>
      <c r="N70" s="2">
        <v>0.016</v>
      </c>
      <c r="O70" s="2">
        <v>0.01</v>
      </c>
      <c r="P70" s="2">
        <v>0.15</v>
      </c>
      <c r="Q70" s="2">
        <v>2950</v>
      </c>
      <c r="R70" s="2">
        <v>421</v>
      </c>
      <c r="S70" s="2">
        <v>10520</v>
      </c>
      <c r="T70" s="2">
        <v>7.4</v>
      </c>
    </row>
    <row r="71" ht="14.5" spans="1:20">
      <c r="A71" s="2" t="s">
        <v>186</v>
      </c>
      <c r="B71" s="2">
        <v>0.82</v>
      </c>
      <c r="C71" s="2">
        <v>1.76</v>
      </c>
      <c r="D71" s="2">
        <v>0.011</v>
      </c>
      <c r="E71" s="2">
        <v>1.25</v>
      </c>
      <c r="F71" s="2">
        <v>0.09</v>
      </c>
      <c r="G71" s="2">
        <v>2.13</v>
      </c>
      <c r="H71" s="2">
        <v>0.154</v>
      </c>
      <c r="I71" s="2">
        <v>3.74</v>
      </c>
      <c r="J71" s="2">
        <v>1.18</v>
      </c>
      <c r="K71" s="2">
        <v>2.86</v>
      </c>
      <c r="L71" s="2">
        <v>0.074</v>
      </c>
      <c r="M71" s="2">
        <v>56.8</v>
      </c>
      <c r="N71" s="2">
        <v>0.007</v>
      </c>
      <c r="O71" s="2">
        <v>0.016</v>
      </c>
      <c r="P71" s="2">
        <v>0.333</v>
      </c>
      <c r="Q71" s="2">
        <v>72.2</v>
      </c>
      <c r="R71" s="2">
        <v>7.9</v>
      </c>
      <c r="S71" s="2">
        <v>36.7</v>
      </c>
      <c r="T71" s="2">
        <v>4.47</v>
      </c>
    </row>
    <row r="72" ht="14.5" spans="1:20">
      <c r="A72" s="2" t="s">
        <v>188</v>
      </c>
      <c r="B72" s="2">
        <v>17.2</v>
      </c>
      <c r="C72" s="2">
        <v>63.7</v>
      </c>
      <c r="D72" s="2">
        <v>0.012</v>
      </c>
      <c r="E72" s="2">
        <v>1.74</v>
      </c>
      <c r="F72" s="2">
        <v>0.285</v>
      </c>
      <c r="G72" s="2">
        <v>1.66</v>
      </c>
      <c r="H72" s="2">
        <v>0.183</v>
      </c>
      <c r="I72" s="2">
        <v>4.35</v>
      </c>
      <c r="J72" s="2">
        <v>1.58</v>
      </c>
      <c r="K72" s="2">
        <v>14.2</v>
      </c>
      <c r="L72" s="2">
        <v>0.441</v>
      </c>
      <c r="M72" s="2">
        <v>110</v>
      </c>
      <c r="N72" s="2">
        <v>0.099</v>
      </c>
      <c r="O72" s="2">
        <v>0.078</v>
      </c>
      <c r="P72" s="2">
        <v>0.599</v>
      </c>
      <c r="Q72" s="2">
        <v>352</v>
      </c>
      <c r="R72" s="2">
        <v>236</v>
      </c>
      <c r="S72" s="2">
        <v>36.3</v>
      </c>
      <c r="T72" s="2">
        <v>5.3</v>
      </c>
    </row>
    <row r="73" ht="14.5" spans="1:20">
      <c r="A73" s="2" t="s">
        <v>191</v>
      </c>
      <c r="B73" s="2">
        <v>1.92</v>
      </c>
      <c r="C73" s="2">
        <v>24.9</v>
      </c>
      <c r="D73" s="2">
        <v>0.007</v>
      </c>
      <c r="E73" s="2">
        <v>0.512</v>
      </c>
      <c r="F73" s="2">
        <v>1.01</v>
      </c>
      <c r="G73" s="2">
        <v>1.63</v>
      </c>
      <c r="H73" s="2">
        <v>0.218</v>
      </c>
      <c r="I73" s="2">
        <v>4.81</v>
      </c>
      <c r="J73" s="2">
        <v>0.508</v>
      </c>
      <c r="K73" s="2">
        <v>2.34</v>
      </c>
      <c r="L73" s="2">
        <v>0.168</v>
      </c>
      <c r="M73" s="2">
        <v>53.1</v>
      </c>
      <c r="N73" s="2">
        <v>0.055</v>
      </c>
      <c r="O73" s="2">
        <v>0.04</v>
      </c>
      <c r="P73" s="2">
        <v>0.415</v>
      </c>
      <c r="Q73" s="2">
        <v>317</v>
      </c>
      <c r="R73" s="2">
        <v>124</v>
      </c>
      <c r="S73" s="2">
        <v>47.5</v>
      </c>
      <c r="T73" s="2">
        <v>8.12</v>
      </c>
    </row>
    <row r="74" ht="14.5" spans="1:20">
      <c r="A74" s="2" t="s">
        <v>193</v>
      </c>
      <c r="B74" s="9" t="s">
        <v>31</v>
      </c>
      <c r="C74" s="2">
        <v>1.29</v>
      </c>
      <c r="D74" s="2">
        <v>0.005</v>
      </c>
      <c r="E74" s="2">
        <v>0.567</v>
      </c>
      <c r="F74" s="2">
        <v>0.731</v>
      </c>
      <c r="G74" s="2">
        <v>1.89</v>
      </c>
      <c r="H74" s="2">
        <v>0.199</v>
      </c>
      <c r="I74" s="2">
        <v>4.39</v>
      </c>
      <c r="J74" s="2">
        <v>0.362</v>
      </c>
      <c r="K74" s="2">
        <v>1.49</v>
      </c>
      <c r="L74" s="2">
        <v>0.044</v>
      </c>
      <c r="M74" s="2">
        <v>30.9</v>
      </c>
      <c r="N74" s="2">
        <v>0.003</v>
      </c>
      <c r="O74" s="2">
        <v>0.133</v>
      </c>
      <c r="P74" s="2">
        <v>0.243</v>
      </c>
      <c r="Q74" s="2">
        <v>90.7</v>
      </c>
      <c r="R74" s="2">
        <v>5.6</v>
      </c>
      <c r="S74" s="2">
        <v>46.5</v>
      </c>
      <c r="T74" s="2">
        <v>9.35</v>
      </c>
    </row>
    <row r="75" ht="14.5" spans="1:20">
      <c r="A75" s="2" t="s">
        <v>195</v>
      </c>
      <c r="B75" s="2">
        <v>22.6</v>
      </c>
      <c r="C75" s="2">
        <v>295</v>
      </c>
      <c r="D75" s="2">
        <v>0.213</v>
      </c>
      <c r="E75" s="2">
        <v>0.192</v>
      </c>
      <c r="F75" s="2">
        <v>49.9</v>
      </c>
      <c r="G75" s="2">
        <v>1.87</v>
      </c>
      <c r="H75" s="2">
        <v>0.218</v>
      </c>
      <c r="I75" s="2">
        <v>4.65</v>
      </c>
      <c r="J75" s="2">
        <v>2.04</v>
      </c>
      <c r="K75" s="2">
        <v>10.1</v>
      </c>
      <c r="L75" s="2">
        <v>0.512</v>
      </c>
      <c r="M75" s="2">
        <v>51</v>
      </c>
      <c r="N75" s="2">
        <v>0.029</v>
      </c>
      <c r="O75" s="2">
        <v>0.21</v>
      </c>
      <c r="P75" s="2">
        <v>0.198</v>
      </c>
      <c r="Q75" s="2">
        <v>1587</v>
      </c>
      <c r="R75" s="2">
        <v>1600</v>
      </c>
      <c r="S75" s="2">
        <v>539</v>
      </c>
      <c r="T75" s="2">
        <v>11.7</v>
      </c>
    </row>
    <row r="76" ht="14.5" spans="1:20">
      <c r="A76" s="2" t="s">
        <v>198</v>
      </c>
      <c r="B76" s="2">
        <v>2.12</v>
      </c>
      <c r="C76" s="2">
        <v>1.89</v>
      </c>
      <c r="D76" s="2" t="s">
        <v>228</v>
      </c>
      <c r="E76" s="2">
        <v>0.338</v>
      </c>
      <c r="F76" s="2">
        <v>0.394</v>
      </c>
      <c r="G76" s="2">
        <v>1.68</v>
      </c>
      <c r="H76" s="2">
        <v>0.079</v>
      </c>
      <c r="I76" s="2">
        <v>1.91</v>
      </c>
      <c r="J76" s="2">
        <v>0.457</v>
      </c>
      <c r="K76" s="2">
        <v>1.34</v>
      </c>
      <c r="L76" s="2">
        <v>0.166</v>
      </c>
      <c r="M76" s="2">
        <v>10.8</v>
      </c>
      <c r="N76" s="2">
        <v>0.003</v>
      </c>
      <c r="O76" s="2">
        <v>0.029</v>
      </c>
      <c r="P76" s="2">
        <v>0.604</v>
      </c>
      <c r="Q76" s="2">
        <v>59.2</v>
      </c>
      <c r="R76" s="2">
        <v>8.11</v>
      </c>
      <c r="S76" s="2">
        <v>37.4</v>
      </c>
      <c r="T76" s="2">
        <v>7.39</v>
      </c>
    </row>
    <row r="77" ht="14.5" spans="1:20">
      <c r="A77" s="2" t="s">
        <v>200</v>
      </c>
      <c r="B77" s="2">
        <v>57.8</v>
      </c>
      <c r="C77" s="2">
        <v>113</v>
      </c>
      <c r="D77" s="2">
        <v>0.123</v>
      </c>
      <c r="E77" s="2">
        <v>0.304</v>
      </c>
      <c r="F77" s="2">
        <v>19.6</v>
      </c>
      <c r="G77" s="2">
        <v>3.03</v>
      </c>
      <c r="H77" s="2">
        <v>0.239</v>
      </c>
      <c r="I77" s="2">
        <v>5.25</v>
      </c>
      <c r="J77" s="2">
        <v>2.13</v>
      </c>
      <c r="K77" s="2">
        <v>14.1</v>
      </c>
      <c r="L77" s="2">
        <v>0.979</v>
      </c>
      <c r="M77" s="2">
        <v>39.3</v>
      </c>
      <c r="N77" s="2">
        <v>0.009</v>
      </c>
      <c r="O77" s="2">
        <v>0.03</v>
      </c>
      <c r="P77" s="2">
        <v>0.031</v>
      </c>
      <c r="Q77" s="2">
        <v>1312</v>
      </c>
      <c r="R77" s="2">
        <v>921</v>
      </c>
      <c r="S77" s="2">
        <v>323</v>
      </c>
      <c r="T77" s="2">
        <v>7.92</v>
      </c>
    </row>
    <row r="78" ht="14.5" spans="1:20">
      <c r="A78" s="2" t="s">
        <v>229</v>
      </c>
      <c r="B78" s="9" t="s">
        <v>31</v>
      </c>
      <c r="C78" s="2">
        <v>16.99</v>
      </c>
      <c r="D78" s="9" t="s">
        <v>31</v>
      </c>
      <c r="E78" s="9" t="s">
        <v>31</v>
      </c>
      <c r="F78" s="2">
        <v>2.34</v>
      </c>
      <c r="G78" s="2">
        <v>0.73</v>
      </c>
      <c r="H78" s="2">
        <v>0.847</v>
      </c>
      <c r="I78" s="2">
        <v>19.28</v>
      </c>
      <c r="J78" s="2">
        <v>3.57</v>
      </c>
      <c r="K78" s="2">
        <v>4.35</v>
      </c>
      <c r="L78" s="2">
        <v>1.14</v>
      </c>
      <c r="M78" s="2">
        <v>46.58</v>
      </c>
      <c r="N78" s="2">
        <v>4.6</v>
      </c>
      <c r="O78" s="2">
        <v>1.95</v>
      </c>
      <c r="P78" s="9" t="s">
        <v>31</v>
      </c>
      <c r="Q78" s="2">
        <v>1056.13</v>
      </c>
      <c r="R78" s="2">
        <v>69.5</v>
      </c>
      <c r="S78" s="2">
        <v>3.63</v>
      </c>
      <c r="T78" s="2">
        <v>15.04</v>
      </c>
    </row>
    <row r="79" ht="15.5" spans="1:2">
      <c r="A79" s="15" t="s">
        <v>230</v>
      </c>
      <c r="B79" s="15"/>
    </row>
    <row r="80" ht="14.5" spans="1:6">
      <c r="A80" s="4" t="s">
        <v>205</v>
      </c>
      <c r="B80" s="4"/>
      <c r="C80" s="4"/>
      <c r="D80" s="4"/>
      <c r="E80" s="4"/>
      <c r="F80" s="4"/>
    </row>
  </sheetData>
  <mergeCells count="3">
    <mergeCell ref="A1:XFD1"/>
    <mergeCell ref="B3:T3"/>
    <mergeCell ref="A2:A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80"/>
  <sheetViews>
    <sheetView topLeftCell="A73" workbookViewId="0">
      <selection activeCell="G84" sqref="G84"/>
    </sheetView>
  </sheetViews>
  <sheetFormatPr defaultColWidth="9" defaultRowHeight="14.5"/>
  <cols>
    <col min="1" max="1" width="11.0833333333333" customWidth="1"/>
    <col min="2" max="15" width="9" customWidth="1"/>
    <col min="16" max="16" width="8.775" style="6" customWidth="1"/>
    <col min="17" max="29" width="8.775" style="2" customWidth="1"/>
    <col min="30" max="30" width="10.6666666666667" style="7"/>
  </cols>
  <sheetData>
    <row r="1" spans="1:30">
      <c r="A1" s="1" t="s">
        <v>231</v>
      </c>
      <c r="B1" s="1"/>
      <c r="C1" s="1"/>
      <c r="D1" s="1"/>
      <c r="E1" s="1"/>
      <c r="F1" s="1"/>
      <c r="G1" s="1"/>
      <c r="H1" s="1"/>
      <c r="I1" s="1"/>
      <c r="P1" s="6" t="s">
        <v>232</v>
      </c>
      <c r="AD1" s="6" t="s">
        <v>233</v>
      </c>
    </row>
    <row r="2" spans="1:30">
      <c r="A2" s="2" t="s">
        <v>1</v>
      </c>
      <c r="B2" s="2" t="s">
        <v>207</v>
      </c>
      <c r="C2" s="2" t="s">
        <v>209</v>
      </c>
      <c r="D2" s="2" t="s">
        <v>211</v>
      </c>
      <c r="E2" s="2" t="s">
        <v>212</v>
      </c>
      <c r="F2" s="2" t="s">
        <v>213</v>
      </c>
      <c r="G2" s="2" t="s">
        <v>214</v>
      </c>
      <c r="H2" s="2" t="s">
        <v>215</v>
      </c>
      <c r="I2" s="2" t="s">
        <v>216</v>
      </c>
      <c r="J2" s="2" t="s">
        <v>217</v>
      </c>
      <c r="K2" s="2" t="s">
        <v>218</v>
      </c>
      <c r="L2" s="2" t="s">
        <v>221</v>
      </c>
      <c r="M2" s="2" t="s">
        <v>223</v>
      </c>
      <c r="N2" s="2" t="s">
        <v>224</v>
      </c>
      <c r="O2" s="2" t="s">
        <v>225</v>
      </c>
      <c r="P2" s="6" t="s">
        <v>207</v>
      </c>
      <c r="Q2" s="2" t="s">
        <v>209</v>
      </c>
      <c r="R2" s="2" t="s">
        <v>211</v>
      </c>
      <c r="S2" s="2" t="s">
        <v>212</v>
      </c>
      <c r="T2" s="2" t="s">
        <v>213</v>
      </c>
      <c r="U2" s="2" t="s">
        <v>214</v>
      </c>
      <c r="V2" s="2" t="s">
        <v>215</v>
      </c>
      <c r="W2" s="2" t="s">
        <v>216</v>
      </c>
      <c r="X2" s="2" t="s">
        <v>217</v>
      </c>
      <c r="Y2" s="2" t="s">
        <v>218</v>
      </c>
      <c r="Z2" s="2" t="s">
        <v>221</v>
      </c>
      <c r="AA2" s="2" t="s">
        <v>223</v>
      </c>
      <c r="AB2" s="2" t="s">
        <v>224</v>
      </c>
      <c r="AC2" s="2" t="s">
        <v>225</v>
      </c>
      <c r="AD2" s="6"/>
    </row>
    <row r="3" spans="1:30">
      <c r="A3" s="2"/>
      <c r="B3" s="2" t="s">
        <v>226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AD3" s="6"/>
    </row>
    <row r="4" spans="1:30">
      <c r="A4" s="2" t="s">
        <v>25</v>
      </c>
      <c r="B4" s="2">
        <v>1.47</v>
      </c>
      <c r="C4" s="2">
        <v>0.215</v>
      </c>
      <c r="D4" s="2">
        <v>578</v>
      </c>
      <c r="E4" s="2">
        <v>4.07</v>
      </c>
      <c r="F4" s="2">
        <v>1.99</v>
      </c>
      <c r="G4" s="2">
        <v>12.6</v>
      </c>
      <c r="H4" s="2">
        <v>1.05</v>
      </c>
      <c r="I4" s="2">
        <v>4.33</v>
      </c>
      <c r="J4" s="2">
        <v>0.251</v>
      </c>
      <c r="K4" s="2">
        <v>215</v>
      </c>
      <c r="L4" s="2">
        <v>0.341</v>
      </c>
      <c r="M4" s="2">
        <v>1710</v>
      </c>
      <c r="N4" s="2">
        <v>4330</v>
      </c>
      <c r="O4" s="2">
        <v>33.8</v>
      </c>
      <c r="P4" s="8">
        <f>B4/10</f>
        <v>0.147</v>
      </c>
      <c r="Q4" s="9">
        <f>C4/2</f>
        <v>0.1075</v>
      </c>
      <c r="R4" s="9">
        <f>D4/100</f>
        <v>5.78</v>
      </c>
      <c r="S4" s="9">
        <f>E4/50</f>
        <v>0.0814</v>
      </c>
      <c r="T4" s="9">
        <f>F4/50</f>
        <v>0.0398</v>
      </c>
      <c r="U4" s="9">
        <f>G4/20</f>
        <v>0.63</v>
      </c>
      <c r="V4" s="9">
        <f>H4/1000</f>
        <v>0.00105</v>
      </c>
      <c r="W4" s="9">
        <f>I4/1000</f>
        <v>0.00433</v>
      </c>
      <c r="X4" s="9">
        <f>J4/70</f>
        <v>0.00358571428571429</v>
      </c>
      <c r="Y4" s="9">
        <f>K4/700</f>
        <v>0.307142857142857</v>
      </c>
      <c r="Z4" s="9">
        <f>L4/30</f>
        <v>0.0113666666666667</v>
      </c>
      <c r="AA4" s="9">
        <f>M4/500</f>
        <v>3.42</v>
      </c>
      <c r="AB4" s="9">
        <f>N4/300</f>
        <v>14.4333333333333</v>
      </c>
      <c r="AC4" s="9">
        <f>O4/200</f>
        <v>0.169</v>
      </c>
      <c r="AD4" s="10">
        <f>(P4+Q4+R4+S4+T4+U4+V4+W4+X4+Y4+Z4+AA4+AB4+AC4)/14</f>
        <v>1.79539346938776</v>
      </c>
    </row>
    <row r="5" spans="1:30">
      <c r="A5" s="2" t="s">
        <v>28</v>
      </c>
      <c r="B5" s="2">
        <v>40.4</v>
      </c>
      <c r="C5" s="2">
        <v>0.002</v>
      </c>
      <c r="D5" s="2">
        <v>0.065</v>
      </c>
      <c r="E5" s="2">
        <v>5.68</v>
      </c>
      <c r="F5" s="2">
        <v>0.105</v>
      </c>
      <c r="G5" s="2">
        <v>2.22</v>
      </c>
      <c r="H5" s="2">
        <v>0.199</v>
      </c>
      <c r="I5" s="2">
        <v>0.036</v>
      </c>
      <c r="J5" s="2">
        <v>0.381</v>
      </c>
      <c r="K5" s="2">
        <v>6.35</v>
      </c>
      <c r="L5" s="2">
        <v>0.288</v>
      </c>
      <c r="M5" s="2">
        <v>20.7</v>
      </c>
      <c r="N5" s="2">
        <v>0.662</v>
      </c>
      <c r="O5" s="2">
        <v>0.886</v>
      </c>
      <c r="P5" s="8">
        <f t="shared" ref="P5:P68" si="0">B5/10</f>
        <v>4.04</v>
      </c>
      <c r="Q5" s="9">
        <f t="shared" ref="Q5:Q68" si="1">C5/2</f>
        <v>0.001</v>
      </c>
      <c r="R5" s="9">
        <f t="shared" ref="R5:R68" si="2">D5/100</f>
        <v>0.00065</v>
      </c>
      <c r="S5" s="9">
        <f t="shared" ref="S5:S68" si="3">E5/50</f>
        <v>0.1136</v>
      </c>
      <c r="T5" s="9">
        <f t="shared" ref="T5:T68" si="4">F5/50</f>
        <v>0.0021</v>
      </c>
      <c r="U5" s="9">
        <f t="shared" ref="U5:U68" si="5">G5/20</f>
        <v>0.111</v>
      </c>
      <c r="V5" s="9">
        <f t="shared" ref="V5:V68" si="6">H5/1000</f>
        <v>0.000199</v>
      </c>
      <c r="W5" s="9">
        <f t="shared" ref="W5:W68" si="7">I5/1000</f>
        <v>3.6e-5</v>
      </c>
      <c r="X5" s="9">
        <f t="shared" ref="X5:X68" si="8">J5/70</f>
        <v>0.00544285714285714</v>
      </c>
      <c r="Y5" s="9">
        <f t="shared" ref="Y5:Y68" si="9">K5/700</f>
        <v>0.00907142857142857</v>
      </c>
      <c r="Z5" s="9">
        <f t="shared" ref="Z5:Z68" si="10">L5/30</f>
        <v>0.0096</v>
      </c>
      <c r="AA5" s="9">
        <f t="shared" ref="AA5:AA68" si="11">M5/500</f>
        <v>0.0414</v>
      </c>
      <c r="AB5" s="9">
        <f t="shared" ref="AB5:AB68" si="12">N5/300</f>
        <v>0.00220666666666667</v>
      </c>
      <c r="AC5" s="9">
        <f t="shared" ref="AC5:AC68" si="13">O5/200</f>
        <v>0.00443</v>
      </c>
      <c r="AD5" s="11">
        <f t="shared" ref="AD5:AD68" si="14">(P5+Q5+R5+S5+T5+U5+V5+W5+X5+Y5+Z5+AA5+AB5+AC5)/14</f>
        <v>0.310052568027211</v>
      </c>
    </row>
    <row r="6" spans="1:30">
      <c r="A6" s="2" t="s">
        <v>32</v>
      </c>
      <c r="B6" s="2">
        <v>98.7</v>
      </c>
      <c r="C6" s="2">
        <v>0.028</v>
      </c>
      <c r="D6" s="2">
        <v>0.917</v>
      </c>
      <c r="E6" s="2">
        <v>0.765</v>
      </c>
      <c r="F6" s="2">
        <v>0.213</v>
      </c>
      <c r="G6" s="2">
        <v>5.13</v>
      </c>
      <c r="H6" s="2">
        <v>0.942</v>
      </c>
      <c r="I6" s="2">
        <v>7.44</v>
      </c>
      <c r="J6" s="2">
        <v>0.882</v>
      </c>
      <c r="K6" s="2">
        <v>24.5</v>
      </c>
      <c r="L6" s="2">
        <v>0.396</v>
      </c>
      <c r="M6" s="2">
        <v>275</v>
      </c>
      <c r="N6" s="2">
        <v>108</v>
      </c>
      <c r="O6" s="2">
        <v>12.6</v>
      </c>
      <c r="P6" s="8">
        <f t="shared" si="0"/>
        <v>9.87</v>
      </c>
      <c r="Q6" s="9">
        <f t="shared" si="1"/>
        <v>0.014</v>
      </c>
      <c r="R6" s="9">
        <f t="shared" si="2"/>
        <v>0.00917</v>
      </c>
      <c r="S6" s="9">
        <f t="shared" si="3"/>
        <v>0.0153</v>
      </c>
      <c r="T6" s="9">
        <f t="shared" si="4"/>
        <v>0.00426</v>
      </c>
      <c r="U6" s="9">
        <f t="shared" si="5"/>
        <v>0.2565</v>
      </c>
      <c r="V6" s="9">
        <f t="shared" si="6"/>
        <v>0.000942</v>
      </c>
      <c r="W6" s="9">
        <f t="shared" si="7"/>
        <v>0.00744</v>
      </c>
      <c r="X6" s="9">
        <f t="shared" si="8"/>
        <v>0.0126</v>
      </c>
      <c r="Y6" s="9">
        <f t="shared" si="9"/>
        <v>0.035</v>
      </c>
      <c r="Z6" s="9">
        <f t="shared" si="10"/>
        <v>0.0132</v>
      </c>
      <c r="AA6" s="9">
        <f t="shared" si="11"/>
        <v>0.55</v>
      </c>
      <c r="AB6" s="9">
        <f t="shared" si="12"/>
        <v>0.36</v>
      </c>
      <c r="AC6" s="9">
        <f t="shared" si="13"/>
        <v>0.063</v>
      </c>
      <c r="AD6" s="11">
        <f t="shared" si="14"/>
        <v>0.800815142857143</v>
      </c>
    </row>
    <row r="7" spans="1:30">
      <c r="A7" s="2" t="s">
        <v>35</v>
      </c>
      <c r="B7" s="2" t="s">
        <v>227</v>
      </c>
      <c r="C7" s="2">
        <v>0.876</v>
      </c>
      <c r="D7" s="2">
        <v>247</v>
      </c>
      <c r="E7" s="2">
        <v>7.12</v>
      </c>
      <c r="F7" s="2">
        <v>2.28</v>
      </c>
      <c r="G7" s="2">
        <v>8.8</v>
      </c>
      <c r="H7" s="2">
        <v>4.84</v>
      </c>
      <c r="I7" s="2">
        <v>13.2</v>
      </c>
      <c r="J7" s="2">
        <v>0.103</v>
      </c>
      <c r="K7" s="2">
        <v>826</v>
      </c>
      <c r="L7" s="2">
        <v>0.188</v>
      </c>
      <c r="M7" s="2">
        <v>2091</v>
      </c>
      <c r="N7" s="2">
        <v>5569</v>
      </c>
      <c r="O7" s="2" t="s">
        <v>31</v>
      </c>
      <c r="P7" s="8"/>
      <c r="Q7" s="9">
        <f t="shared" si="1"/>
        <v>0.438</v>
      </c>
      <c r="R7" s="9">
        <f t="shared" si="2"/>
        <v>2.47</v>
      </c>
      <c r="S7" s="9">
        <f t="shared" si="3"/>
        <v>0.1424</v>
      </c>
      <c r="T7" s="9">
        <f t="shared" si="4"/>
        <v>0.0456</v>
      </c>
      <c r="U7" s="9">
        <f t="shared" si="5"/>
        <v>0.44</v>
      </c>
      <c r="V7" s="9">
        <f t="shared" si="6"/>
        <v>0.00484</v>
      </c>
      <c r="W7" s="9">
        <f t="shared" si="7"/>
        <v>0.0132</v>
      </c>
      <c r="X7" s="9">
        <f t="shared" si="8"/>
        <v>0.00147142857142857</v>
      </c>
      <c r="Y7" s="9">
        <f t="shared" si="9"/>
        <v>1.18</v>
      </c>
      <c r="Z7" s="9">
        <f t="shared" si="10"/>
        <v>0.00626666666666667</v>
      </c>
      <c r="AA7" s="9">
        <f t="shared" si="11"/>
        <v>4.182</v>
      </c>
      <c r="AB7" s="9">
        <f t="shared" si="12"/>
        <v>18.5633333333333</v>
      </c>
      <c r="AC7" s="9"/>
      <c r="AD7" s="10">
        <f t="shared" si="14"/>
        <v>1.96336510204082</v>
      </c>
    </row>
    <row r="8" spans="1:30">
      <c r="A8" s="2" t="s">
        <v>38</v>
      </c>
      <c r="B8" s="2" t="s">
        <v>227</v>
      </c>
      <c r="C8" s="2">
        <v>0.109</v>
      </c>
      <c r="D8" s="2">
        <v>0.814</v>
      </c>
      <c r="E8" s="2">
        <v>35.1</v>
      </c>
      <c r="F8" s="2">
        <v>0.468</v>
      </c>
      <c r="G8" s="2">
        <v>10.5</v>
      </c>
      <c r="H8" s="2">
        <v>0.763</v>
      </c>
      <c r="I8" s="2">
        <v>0.619</v>
      </c>
      <c r="J8" s="2">
        <v>0.022</v>
      </c>
      <c r="K8" s="2">
        <v>1381</v>
      </c>
      <c r="L8" s="2">
        <v>0.049</v>
      </c>
      <c r="M8" s="2">
        <v>562</v>
      </c>
      <c r="N8" s="2">
        <v>20.2</v>
      </c>
      <c r="O8" s="2">
        <v>0.005</v>
      </c>
      <c r="P8" s="8"/>
      <c r="Q8" s="9">
        <f t="shared" si="1"/>
        <v>0.0545</v>
      </c>
      <c r="R8" s="9">
        <f t="shared" si="2"/>
        <v>0.00814</v>
      </c>
      <c r="S8" s="9">
        <f t="shared" si="3"/>
        <v>0.702</v>
      </c>
      <c r="T8" s="9">
        <f t="shared" si="4"/>
        <v>0.00936</v>
      </c>
      <c r="U8" s="9">
        <f t="shared" si="5"/>
        <v>0.525</v>
      </c>
      <c r="V8" s="9">
        <f t="shared" si="6"/>
        <v>0.000763</v>
      </c>
      <c r="W8" s="9">
        <f t="shared" si="7"/>
        <v>0.000619</v>
      </c>
      <c r="X8" s="9">
        <f t="shared" si="8"/>
        <v>0.000314285714285714</v>
      </c>
      <c r="Y8" s="9">
        <f t="shared" si="9"/>
        <v>1.97285714285714</v>
      </c>
      <c r="Z8" s="9">
        <f t="shared" si="10"/>
        <v>0.00163333333333333</v>
      </c>
      <c r="AA8" s="9">
        <f t="shared" si="11"/>
        <v>1.124</v>
      </c>
      <c r="AB8" s="9">
        <f t="shared" si="12"/>
        <v>0.0673333333333333</v>
      </c>
      <c r="AC8" s="9">
        <f t="shared" si="13"/>
        <v>2.5e-5</v>
      </c>
      <c r="AD8" s="11">
        <f t="shared" si="14"/>
        <v>0.31903893537415</v>
      </c>
    </row>
    <row r="9" spans="1:30">
      <c r="A9" s="2" t="s">
        <v>40</v>
      </c>
      <c r="B9" s="2">
        <v>47.33</v>
      </c>
      <c r="C9" s="2" t="s">
        <v>31</v>
      </c>
      <c r="D9" s="2">
        <v>4.68</v>
      </c>
      <c r="E9" s="2">
        <v>2.64</v>
      </c>
      <c r="F9" s="2">
        <v>0.03</v>
      </c>
      <c r="G9" s="2" t="s">
        <v>31</v>
      </c>
      <c r="H9" s="2">
        <v>0.73</v>
      </c>
      <c r="I9" s="2">
        <v>3.96</v>
      </c>
      <c r="J9" s="2">
        <v>1.26</v>
      </c>
      <c r="K9" s="2">
        <v>216.7</v>
      </c>
      <c r="L9" s="2">
        <v>0.2</v>
      </c>
      <c r="M9" s="2"/>
      <c r="N9" s="2"/>
      <c r="O9" s="2" t="s">
        <v>31</v>
      </c>
      <c r="P9" s="8">
        <f t="shared" si="0"/>
        <v>4.733</v>
      </c>
      <c r="Q9" s="9"/>
      <c r="R9" s="9">
        <f t="shared" si="2"/>
        <v>0.0468</v>
      </c>
      <c r="S9" s="9">
        <f t="shared" si="3"/>
        <v>0.0528</v>
      </c>
      <c r="T9" s="9">
        <f t="shared" si="4"/>
        <v>0.0006</v>
      </c>
      <c r="U9" s="9"/>
      <c r="V9" s="9">
        <f t="shared" si="6"/>
        <v>0.00073</v>
      </c>
      <c r="W9" s="9">
        <f t="shared" si="7"/>
        <v>0.00396</v>
      </c>
      <c r="X9" s="9">
        <f t="shared" si="8"/>
        <v>0.018</v>
      </c>
      <c r="Y9" s="9">
        <f t="shared" si="9"/>
        <v>0.309571428571429</v>
      </c>
      <c r="Z9" s="9">
        <f t="shared" si="10"/>
        <v>0.00666666666666667</v>
      </c>
      <c r="AA9" s="9">
        <f t="shared" si="11"/>
        <v>0</v>
      </c>
      <c r="AB9" s="9">
        <f t="shared" si="12"/>
        <v>0</v>
      </c>
      <c r="AC9" s="9"/>
      <c r="AD9" s="11">
        <f t="shared" si="14"/>
        <v>0.369437721088435</v>
      </c>
    </row>
    <row r="10" spans="1:30">
      <c r="A10" s="2" t="s">
        <v>42</v>
      </c>
      <c r="B10" s="2" t="s">
        <v>227</v>
      </c>
      <c r="C10" s="2">
        <v>1.64</v>
      </c>
      <c r="D10" s="2">
        <v>134</v>
      </c>
      <c r="E10" s="2">
        <v>7.99</v>
      </c>
      <c r="F10" s="2">
        <v>0.376</v>
      </c>
      <c r="G10" s="2">
        <v>8.65</v>
      </c>
      <c r="H10" s="2">
        <v>0.894</v>
      </c>
      <c r="I10" s="2">
        <v>3.12</v>
      </c>
      <c r="J10" s="2">
        <v>0.242</v>
      </c>
      <c r="K10" s="2">
        <v>471</v>
      </c>
      <c r="L10" s="2">
        <v>0.06</v>
      </c>
      <c r="M10" s="2">
        <v>539</v>
      </c>
      <c r="N10" s="2">
        <v>1834</v>
      </c>
      <c r="O10" s="2">
        <v>22.8</v>
      </c>
      <c r="P10" s="8"/>
      <c r="Q10" s="9">
        <f t="shared" si="1"/>
        <v>0.82</v>
      </c>
      <c r="R10" s="9">
        <f t="shared" si="2"/>
        <v>1.34</v>
      </c>
      <c r="S10" s="9">
        <f t="shared" si="3"/>
        <v>0.1598</v>
      </c>
      <c r="T10" s="9">
        <f t="shared" si="4"/>
        <v>0.00752</v>
      </c>
      <c r="U10" s="9">
        <f t="shared" si="5"/>
        <v>0.4325</v>
      </c>
      <c r="V10" s="9">
        <f t="shared" si="6"/>
        <v>0.000894</v>
      </c>
      <c r="W10" s="9">
        <f t="shared" si="7"/>
        <v>0.00312</v>
      </c>
      <c r="X10" s="9">
        <f t="shared" si="8"/>
        <v>0.00345714285714286</v>
      </c>
      <c r="Y10" s="9">
        <f t="shared" si="9"/>
        <v>0.672857142857143</v>
      </c>
      <c r="Z10" s="9">
        <f t="shared" si="10"/>
        <v>0.002</v>
      </c>
      <c r="AA10" s="9">
        <f t="shared" si="11"/>
        <v>1.078</v>
      </c>
      <c r="AB10" s="9">
        <f t="shared" si="12"/>
        <v>6.11333333333333</v>
      </c>
      <c r="AC10" s="9">
        <f t="shared" si="13"/>
        <v>0.114</v>
      </c>
      <c r="AD10" s="11">
        <f t="shared" si="14"/>
        <v>0.767677258503402</v>
      </c>
    </row>
    <row r="11" spans="1:30">
      <c r="A11" s="2" t="s">
        <v>44</v>
      </c>
      <c r="B11" s="2">
        <v>1.24</v>
      </c>
      <c r="C11" s="2">
        <v>2.34</v>
      </c>
      <c r="D11" s="2">
        <v>642</v>
      </c>
      <c r="E11" s="2">
        <v>10.7</v>
      </c>
      <c r="F11" s="2">
        <v>2.29</v>
      </c>
      <c r="G11" s="2">
        <v>29.2</v>
      </c>
      <c r="H11" s="2">
        <v>2.06</v>
      </c>
      <c r="I11" s="2">
        <v>5.42</v>
      </c>
      <c r="J11" s="2">
        <v>0.244</v>
      </c>
      <c r="K11" s="2">
        <v>1003</v>
      </c>
      <c r="L11" s="2">
        <v>0.226</v>
      </c>
      <c r="M11" s="2">
        <v>462</v>
      </c>
      <c r="N11" s="2">
        <v>2492</v>
      </c>
      <c r="O11" s="2">
        <v>51.7</v>
      </c>
      <c r="P11" s="8">
        <f t="shared" si="0"/>
        <v>0.124</v>
      </c>
      <c r="Q11" s="9">
        <f t="shared" si="1"/>
        <v>1.17</v>
      </c>
      <c r="R11" s="9">
        <f t="shared" si="2"/>
        <v>6.42</v>
      </c>
      <c r="S11" s="9">
        <f t="shared" si="3"/>
        <v>0.214</v>
      </c>
      <c r="T11" s="9">
        <f t="shared" si="4"/>
        <v>0.0458</v>
      </c>
      <c r="U11" s="9">
        <f t="shared" si="5"/>
        <v>1.46</v>
      </c>
      <c r="V11" s="9">
        <f t="shared" si="6"/>
        <v>0.00206</v>
      </c>
      <c r="W11" s="9">
        <f t="shared" si="7"/>
        <v>0.00542</v>
      </c>
      <c r="X11" s="9">
        <f t="shared" si="8"/>
        <v>0.00348571428571429</v>
      </c>
      <c r="Y11" s="9">
        <f t="shared" si="9"/>
        <v>1.43285714285714</v>
      </c>
      <c r="Z11" s="9">
        <f t="shared" si="10"/>
        <v>0.00753333333333333</v>
      </c>
      <c r="AA11" s="9">
        <f t="shared" si="11"/>
        <v>0.924</v>
      </c>
      <c r="AB11" s="9">
        <f t="shared" si="12"/>
        <v>8.30666666666667</v>
      </c>
      <c r="AC11" s="9">
        <f t="shared" si="13"/>
        <v>0.2585</v>
      </c>
      <c r="AD11" s="10">
        <f t="shared" si="14"/>
        <v>1.4553087755102</v>
      </c>
    </row>
    <row r="12" spans="1:30">
      <c r="A12" s="2" t="s">
        <v>47</v>
      </c>
      <c r="B12" s="2" t="s">
        <v>227</v>
      </c>
      <c r="C12" s="2">
        <v>0.027</v>
      </c>
      <c r="D12" s="2">
        <v>9.79</v>
      </c>
      <c r="E12" s="2">
        <v>3.08</v>
      </c>
      <c r="F12" s="2">
        <v>0.506</v>
      </c>
      <c r="G12" s="2">
        <v>12.1</v>
      </c>
      <c r="H12" s="2">
        <v>2.35</v>
      </c>
      <c r="I12" s="2">
        <v>6.76</v>
      </c>
      <c r="J12" s="2">
        <v>0.05</v>
      </c>
      <c r="K12" s="2">
        <v>91.6</v>
      </c>
      <c r="L12" s="2">
        <v>0.169</v>
      </c>
      <c r="M12" s="2">
        <v>105</v>
      </c>
      <c r="N12" s="2">
        <v>164</v>
      </c>
      <c r="O12" s="2">
        <v>76.3</v>
      </c>
      <c r="P12" s="8"/>
      <c r="Q12" s="9">
        <f t="shared" si="1"/>
        <v>0.0135</v>
      </c>
      <c r="R12" s="9">
        <f t="shared" si="2"/>
        <v>0.0979</v>
      </c>
      <c r="S12" s="9">
        <f t="shared" si="3"/>
        <v>0.0616</v>
      </c>
      <c r="T12" s="9">
        <f t="shared" si="4"/>
        <v>0.01012</v>
      </c>
      <c r="U12" s="9">
        <f t="shared" si="5"/>
        <v>0.605</v>
      </c>
      <c r="V12" s="9">
        <f t="shared" si="6"/>
        <v>0.00235</v>
      </c>
      <c r="W12" s="9">
        <f t="shared" si="7"/>
        <v>0.00676</v>
      </c>
      <c r="X12" s="9">
        <f t="shared" si="8"/>
        <v>0.000714285714285714</v>
      </c>
      <c r="Y12" s="9">
        <f t="shared" si="9"/>
        <v>0.130857142857143</v>
      </c>
      <c r="Z12" s="9">
        <f t="shared" si="10"/>
        <v>0.00563333333333333</v>
      </c>
      <c r="AA12" s="9">
        <f t="shared" si="11"/>
        <v>0.21</v>
      </c>
      <c r="AB12" s="9">
        <f t="shared" si="12"/>
        <v>0.546666666666667</v>
      </c>
      <c r="AC12" s="9">
        <f t="shared" si="13"/>
        <v>0.3815</v>
      </c>
      <c r="AD12" s="11">
        <f t="shared" si="14"/>
        <v>0.148042959183673</v>
      </c>
    </row>
    <row r="13" spans="1:30">
      <c r="A13" s="2" t="s">
        <v>50</v>
      </c>
      <c r="B13" s="2" t="s">
        <v>227</v>
      </c>
      <c r="C13" s="2">
        <v>0.005</v>
      </c>
      <c r="D13" s="2">
        <v>1.01</v>
      </c>
      <c r="E13" s="2">
        <v>9.82</v>
      </c>
      <c r="F13" s="2">
        <v>0.511</v>
      </c>
      <c r="G13" s="2">
        <v>16.4</v>
      </c>
      <c r="H13" s="2">
        <v>3.84</v>
      </c>
      <c r="I13" s="2">
        <v>9.39</v>
      </c>
      <c r="J13" s="2">
        <v>0.176</v>
      </c>
      <c r="K13" s="2">
        <v>33.8</v>
      </c>
      <c r="L13" s="2">
        <v>0.74</v>
      </c>
      <c r="M13" s="2">
        <v>41.9</v>
      </c>
      <c r="N13" s="2">
        <v>6.41</v>
      </c>
      <c r="O13" s="2">
        <v>7.56</v>
      </c>
      <c r="P13" s="8"/>
      <c r="Q13" s="9">
        <f t="shared" si="1"/>
        <v>0.0025</v>
      </c>
      <c r="R13" s="9">
        <f t="shared" si="2"/>
        <v>0.0101</v>
      </c>
      <c r="S13" s="9">
        <f t="shared" si="3"/>
        <v>0.1964</v>
      </c>
      <c r="T13" s="9">
        <f t="shared" si="4"/>
        <v>0.01022</v>
      </c>
      <c r="U13" s="9">
        <f t="shared" si="5"/>
        <v>0.82</v>
      </c>
      <c r="V13" s="9">
        <f t="shared" si="6"/>
        <v>0.00384</v>
      </c>
      <c r="W13" s="9">
        <f t="shared" si="7"/>
        <v>0.00939</v>
      </c>
      <c r="X13" s="9">
        <f t="shared" si="8"/>
        <v>0.00251428571428571</v>
      </c>
      <c r="Y13" s="9">
        <f t="shared" si="9"/>
        <v>0.0482857142857143</v>
      </c>
      <c r="Z13" s="9">
        <f t="shared" si="10"/>
        <v>0.0246666666666667</v>
      </c>
      <c r="AA13" s="9">
        <f t="shared" si="11"/>
        <v>0.0838</v>
      </c>
      <c r="AB13" s="9">
        <f t="shared" si="12"/>
        <v>0.0213666666666667</v>
      </c>
      <c r="AC13" s="9">
        <f t="shared" si="13"/>
        <v>0.0378</v>
      </c>
      <c r="AD13" s="11">
        <f t="shared" si="14"/>
        <v>0.090777380952381</v>
      </c>
    </row>
    <row r="14" spans="1:30">
      <c r="A14" s="2" t="s">
        <v>53</v>
      </c>
      <c r="B14" s="2" t="s">
        <v>227</v>
      </c>
      <c r="C14" s="2">
        <v>0.003</v>
      </c>
      <c r="D14" s="2">
        <v>0.391</v>
      </c>
      <c r="E14" s="2">
        <v>7.5</v>
      </c>
      <c r="F14" s="2">
        <v>0.517</v>
      </c>
      <c r="G14" s="2">
        <v>17.3</v>
      </c>
      <c r="H14" s="2">
        <v>1.03</v>
      </c>
      <c r="I14" s="2">
        <v>2.45</v>
      </c>
      <c r="J14" s="2">
        <v>0.126</v>
      </c>
      <c r="K14" s="2">
        <v>45.7</v>
      </c>
      <c r="L14" s="2">
        <v>0.377</v>
      </c>
      <c r="M14" s="2">
        <v>59.5</v>
      </c>
      <c r="N14" s="2">
        <v>1.35</v>
      </c>
      <c r="O14" s="2">
        <v>5.53</v>
      </c>
      <c r="P14" s="8"/>
      <c r="Q14" s="9">
        <f t="shared" si="1"/>
        <v>0.0015</v>
      </c>
      <c r="R14" s="9">
        <f t="shared" si="2"/>
        <v>0.00391</v>
      </c>
      <c r="S14" s="9">
        <f t="shared" si="3"/>
        <v>0.15</v>
      </c>
      <c r="T14" s="9">
        <f t="shared" si="4"/>
        <v>0.01034</v>
      </c>
      <c r="U14" s="9">
        <f t="shared" si="5"/>
        <v>0.865</v>
      </c>
      <c r="V14" s="9">
        <f t="shared" si="6"/>
        <v>0.00103</v>
      </c>
      <c r="W14" s="9">
        <f t="shared" si="7"/>
        <v>0.00245</v>
      </c>
      <c r="X14" s="9">
        <f t="shared" si="8"/>
        <v>0.0018</v>
      </c>
      <c r="Y14" s="9">
        <f t="shared" si="9"/>
        <v>0.0652857142857143</v>
      </c>
      <c r="Z14" s="9">
        <f t="shared" si="10"/>
        <v>0.0125666666666667</v>
      </c>
      <c r="AA14" s="9">
        <f t="shared" si="11"/>
        <v>0.119</v>
      </c>
      <c r="AB14" s="9">
        <f t="shared" si="12"/>
        <v>0.0045</v>
      </c>
      <c r="AC14" s="9">
        <f t="shared" si="13"/>
        <v>0.02765</v>
      </c>
      <c r="AD14" s="11">
        <f t="shared" si="14"/>
        <v>0.0903594557823129</v>
      </c>
    </row>
    <row r="15" spans="1:30">
      <c r="A15" s="2" t="s">
        <v>55</v>
      </c>
      <c r="B15" s="2">
        <v>3.11</v>
      </c>
      <c r="C15" s="2">
        <v>0.77</v>
      </c>
      <c r="D15" s="2">
        <v>52.1</v>
      </c>
      <c r="E15" s="2">
        <v>7.07</v>
      </c>
      <c r="F15" s="2">
        <v>0.213</v>
      </c>
      <c r="G15" s="2">
        <v>3.62</v>
      </c>
      <c r="H15" s="2">
        <v>0.56</v>
      </c>
      <c r="I15" s="2">
        <v>2.27</v>
      </c>
      <c r="J15" s="2">
        <v>0.186</v>
      </c>
      <c r="K15" s="2">
        <v>666</v>
      </c>
      <c r="L15" s="2">
        <v>0.008</v>
      </c>
      <c r="M15" s="2">
        <v>1338</v>
      </c>
      <c r="N15" s="2">
        <v>162</v>
      </c>
      <c r="O15" s="2" t="s">
        <v>31</v>
      </c>
      <c r="P15" s="8">
        <f t="shared" si="0"/>
        <v>0.311</v>
      </c>
      <c r="Q15" s="9">
        <f t="shared" si="1"/>
        <v>0.385</v>
      </c>
      <c r="R15" s="9">
        <f t="shared" si="2"/>
        <v>0.521</v>
      </c>
      <c r="S15" s="9">
        <f t="shared" si="3"/>
        <v>0.1414</v>
      </c>
      <c r="T15" s="9">
        <f t="shared" si="4"/>
        <v>0.00426</v>
      </c>
      <c r="U15" s="9">
        <f t="shared" si="5"/>
        <v>0.181</v>
      </c>
      <c r="V15" s="9">
        <f t="shared" si="6"/>
        <v>0.00056</v>
      </c>
      <c r="W15" s="9">
        <f t="shared" si="7"/>
        <v>0.00227</v>
      </c>
      <c r="X15" s="9">
        <f t="shared" si="8"/>
        <v>0.00265714285714286</v>
      </c>
      <c r="Y15" s="9">
        <f t="shared" si="9"/>
        <v>0.951428571428571</v>
      </c>
      <c r="Z15" s="9">
        <f t="shared" si="10"/>
        <v>0.000266666666666667</v>
      </c>
      <c r="AA15" s="9">
        <f t="shared" si="11"/>
        <v>2.676</v>
      </c>
      <c r="AB15" s="9">
        <f t="shared" si="12"/>
        <v>0.54</v>
      </c>
      <c r="AC15" s="9"/>
      <c r="AD15" s="11">
        <f t="shared" si="14"/>
        <v>0.408345884353742</v>
      </c>
    </row>
    <row r="16" spans="1:30">
      <c r="A16" s="2" t="s">
        <v>57</v>
      </c>
      <c r="B16" s="2">
        <v>0.93</v>
      </c>
      <c r="C16" s="2" t="s">
        <v>31</v>
      </c>
      <c r="D16" s="2">
        <v>1.46</v>
      </c>
      <c r="E16" s="2">
        <v>0.44</v>
      </c>
      <c r="F16" s="2" t="s">
        <v>31</v>
      </c>
      <c r="G16" s="2">
        <v>0.03</v>
      </c>
      <c r="H16" s="2">
        <v>0.15</v>
      </c>
      <c r="I16" s="2">
        <v>26.99</v>
      </c>
      <c r="J16" s="2">
        <v>0.09</v>
      </c>
      <c r="K16" s="2">
        <v>93.63</v>
      </c>
      <c r="L16" s="2">
        <v>0.03</v>
      </c>
      <c r="M16" s="2"/>
      <c r="N16" s="2"/>
      <c r="O16" s="2" t="s">
        <v>31</v>
      </c>
      <c r="P16" s="8">
        <f t="shared" si="0"/>
        <v>0.093</v>
      </c>
      <c r="Q16" s="9"/>
      <c r="R16" s="9">
        <f t="shared" si="2"/>
        <v>0.0146</v>
      </c>
      <c r="S16" s="9">
        <f t="shared" si="3"/>
        <v>0.0088</v>
      </c>
      <c r="T16" s="9"/>
      <c r="U16" s="9">
        <f t="shared" si="5"/>
        <v>0.0015</v>
      </c>
      <c r="V16" s="9">
        <f t="shared" si="6"/>
        <v>0.00015</v>
      </c>
      <c r="W16" s="9">
        <f t="shared" si="7"/>
        <v>0.02699</v>
      </c>
      <c r="X16" s="9">
        <f t="shared" si="8"/>
        <v>0.00128571428571429</v>
      </c>
      <c r="Y16" s="9">
        <f t="shared" si="9"/>
        <v>0.133757142857143</v>
      </c>
      <c r="Z16" s="9">
        <f t="shared" si="10"/>
        <v>0.001</v>
      </c>
      <c r="AA16" s="9">
        <f t="shared" si="11"/>
        <v>0</v>
      </c>
      <c r="AB16" s="9">
        <f t="shared" si="12"/>
        <v>0</v>
      </c>
      <c r="AC16" s="9"/>
      <c r="AD16" s="11">
        <f t="shared" si="14"/>
        <v>0.0200773469387755</v>
      </c>
    </row>
    <row r="17" spans="1:30">
      <c r="A17" s="2" t="s">
        <v>59</v>
      </c>
      <c r="B17" s="2">
        <v>0.9</v>
      </c>
      <c r="C17" s="2" t="s">
        <v>31</v>
      </c>
      <c r="D17" s="2">
        <v>1.49</v>
      </c>
      <c r="E17" s="2">
        <v>0.41</v>
      </c>
      <c r="F17" s="2" t="s">
        <v>31</v>
      </c>
      <c r="G17" s="2">
        <v>0.1</v>
      </c>
      <c r="H17" s="2">
        <v>0.08</v>
      </c>
      <c r="I17" s="2">
        <v>17.74</v>
      </c>
      <c r="J17" s="2">
        <v>0.05</v>
      </c>
      <c r="K17" s="2">
        <v>64.96</v>
      </c>
      <c r="L17" s="2">
        <v>0.16</v>
      </c>
      <c r="M17" s="2"/>
      <c r="N17" s="2"/>
      <c r="O17" s="2" t="s">
        <v>31</v>
      </c>
      <c r="P17" s="8">
        <f t="shared" si="0"/>
        <v>0.09</v>
      </c>
      <c r="Q17" s="9"/>
      <c r="R17" s="9">
        <f t="shared" si="2"/>
        <v>0.0149</v>
      </c>
      <c r="S17" s="9">
        <f t="shared" si="3"/>
        <v>0.0082</v>
      </c>
      <c r="T17" s="9"/>
      <c r="U17" s="9">
        <f t="shared" si="5"/>
        <v>0.005</v>
      </c>
      <c r="V17" s="9">
        <f t="shared" si="6"/>
        <v>8e-5</v>
      </c>
      <c r="W17" s="9">
        <f t="shared" si="7"/>
        <v>0.01774</v>
      </c>
      <c r="X17" s="9">
        <f t="shared" si="8"/>
        <v>0.000714285714285714</v>
      </c>
      <c r="Y17" s="9">
        <f t="shared" si="9"/>
        <v>0.0928</v>
      </c>
      <c r="Z17" s="9">
        <f t="shared" si="10"/>
        <v>0.00533333333333333</v>
      </c>
      <c r="AA17" s="9">
        <f t="shared" si="11"/>
        <v>0</v>
      </c>
      <c r="AB17" s="9">
        <f t="shared" si="12"/>
        <v>0</v>
      </c>
      <c r="AC17" s="9"/>
      <c r="AD17" s="11">
        <f t="shared" si="14"/>
        <v>0.0167691156462585</v>
      </c>
    </row>
    <row r="18" spans="1:30">
      <c r="A18" s="2" t="s">
        <v>61</v>
      </c>
      <c r="B18" s="2" t="s">
        <v>227</v>
      </c>
      <c r="C18" s="2" t="s">
        <v>31</v>
      </c>
      <c r="D18" s="2">
        <v>1.42</v>
      </c>
      <c r="E18" s="2">
        <v>0.1</v>
      </c>
      <c r="F18" s="2">
        <v>0.12</v>
      </c>
      <c r="G18" s="2" t="s">
        <v>31</v>
      </c>
      <c r="H18" s="2">
        <v>31.7</v>
      </c>
      <c r="I18" s="2">
        <v>0.006</v>
      </c>
      <c r="J18" s="2">
        <v>50.64</v>
      </c>
      <c r="K18" s="2" t="s">
        <v>31</v>
      </c>
      <c r="L18" s="2">
        <v>0.06</v>
      </c>
      <c r="M18" s="2"/>
      <c r="N18" s="2"/>
      <c r="O18" s="2" t="s">
        <v>31</v>
      </c>
      <c r="P18" s="8"/>
      <c r="Q18" s="9"/>
      <c r="R18" s="9">
        <f t="shared" si="2"/>
        <v>0.0142</v>
      </c>
      <c r="S18" s="9">
        <f t="shared" si="3"/>
        <v>0.002</v>
      </c>
      <c r="T18" s="9">
        <f t="shared" si="4"/>
        <v>0.0024</v>
      </c>
      <c r="U18" s="9"/>
      <c r="V18" s="9">
        <f t="shared" si="6"/>
        <v>0.0317</v>
      </c>
      <c r="W18" s="9">
        <f t="shared" si="7"/>
        <v>6e-6</v>
      </c>
      <c r="X18" s="9">
        <f t="shared" si="8"/>
        <v>0.723428571428571</v>
      </c>
      <c r="Y18" s="9"/>
      <c r="Z18" s="9">
        <f t="shared" si="10"/>
        <v>0.002</v>
      </c>
      <c r="AA18" s="9">
        <f t="shared" si="11"/>
        <v>0</v>
      </c>
      <c r="AB18" s="9">
        <f t="shared" si="12"/>
        <v>0</v>
      </c>
      <c r="AC18" s="9"/>
      <c r="AD18" s="11">
        <f t="shared" si="14"/>
        <v>0.055409612244898</v>
      </c>
    </row>
    <row r="19" spans="1:30">
      <c r="A19" s="2" t="s">
        <v>63</v>
      </c>
      <c r="B19" s="2">
        <v>30.9</v>
      </c>
      <c r="C19" s="2">
        <v>0.666</v>
      </c>
      <c r="D19" s="2">
        <v>97.1</v>
      </c>
      <c r="E19" s="2">
        <v>0.756</v>
      </c>
      <c r="F19" s="2">
        <v>1.22</v>
      </c>
      <c r="G19" s="2">
        <v>6.11</v>
      </c>
      <c r="H19" s="2">
        <v>8.17</v>
      </c>
      <c r="I19" s="2">
        <v>2.62</v>
      </c>
      <c r="J19" s="2">
        <v>1.01</v>
      </c>
      <c r="K19" s="2">
        <v>615</v>
      </c>
      <c r="L19" s="2">
        <v>0.281</v>
      </c>
      <c r="M19" s="2">
        <v>2533</v>
      </c>
      <c r="N19" s="2">
        <v>37.7</v>
      </c>
      <c r="O19" s="2">
        <v>18.4</v>
      </c>
      <c r="P19" s="8">
        <f t="shared" si="0"/>
        <v>3.09</v>
      </c>
      <c r="Q19" s="9">
        <f t="shared" si="1"/>
        <v>0.333</v>
      </c>
      <c r="R19" s="9">
        <f t="shared" si="2"/>
        <v>0.971</v>
      </c>
      <c r="S19" s="9">
        <f t="shared" si="3"/>
        <v>0.01512</v>
      </c>
      <c r="T19" s="9">
        <f t="shared" si="4"/>
        <v>0.0244</v>
      </c>
      <c r="U19" s="9">
        <f t="shared" si="5"/>
        <v>0.3055</v>
      </c>
      <c r="V19" s="9">
        <f t="shared" si="6"/>
        <v>0.00817</v>
      </c>
      <c r="W19" s="9">
        <f t="shared" si="7"/>
        <v>0.00262</v>
      </c>
      <c r="X19" s="9">
        <f t="shared" si="8"/>
        <v>0.0144285714285714</v>
      </c>
      <c r="Y19" s="9">
        <f t="shared" si="9"/>
        <v>0.878571428571429</v>
      </c>
      <c r="Z19" s="9">
        <f t="shared" si="10"/>
        <v>0.00936666666666667</v>
      </c>
      <c r="AA19" s="9">
        <f t="shared" si="11"/>
        <v>5.066</v>
      </c>
      <c r="AB19" s="9">
        <f t="shared" si="12"/>
        <v>0.125666666666667</v>
      </c>
      <c r="AC19" s="9">
        <f t="shared" si="13"/>
        <v>0.092</v>
      </c>
      <c r="AD19" s="11">
        <f t="shared" si="14"/>
        <v>0.781131666666667</v>
      </c>
    </row>
    <row r="20" spans="1:30">
      <c r="A20" s="2" t="s">
        <v>65</v>
      </c>
      <c r="B20" s="2" t="s">
        <v>227</v>
      </c>
      <c r="C20" s="2">
        <v>0.421</v>
      </c>
      <c r="D20" s="2">
        <v>157</v>
      </c>
      <c r="E20" s="2">
        <v>0.235</v>
      </c>
      <c r="F20" s="2">
        <v>0.275</v>
      </c>
      <c r="G20" s="2">
        <v>7.54</v>
      </c>
      <c r="H20" s="2">
        <v>1.42</v>
      </c>
      <c r="I20" s="2">
        <v>1.63</v>
      </c>
      <c r="J20" s="2">
        <v>0.078</v>
      </c>
      <c r="K20" s="2">
        <v>633</v>
      </c>
      <c r="L20" s="2">
        <v>0.318</v>
      </c>
      <c r="M20" s="2">
        <v>333</v>
      </c>
      <c r="N20" s="2">
        <v>15.7</v>
      </c>
      <c r="O20" s="2">
        <v>8.58</v>
      </c>
      <c r="P20" s="8"/>
      <c r="Q20" s="9">
        <f t="shared" si="1"/>
        <v>0.2105</v>
      </c>
      <c r="R20" s="9">
        <f t="shared" si="2"/>
        <v>1.57</v>
      </c>
      <c r="S20" s="9">
        <f t="shared" si="3"/>
        <v>0.0047</v>
      </c>
      <c r="T20" s="9">
        <f t="shared" si="4"/>
        <v>0.0055</v>
      </c>
      <c r="U20" s="9">
        <f t="shared" si="5"/>
        <v>0.377</v>
      </c>
      <c r="V20" s="9">
        <f t="shared" si="6"/>
        <v>0.00142</v>
      </c>
      <c r="W20" s="9">
        <f t="shared" si="7"/>
        <v>0.00163</v>
      </c>
      <c r="X20" s="9">
        <f t="shared" si="8"/>
        <v>0.00111428571428571</v>
      </c>
      <c r="Y20" s="9">
        <f t="shared" si="9"/>
        <v>0.904285714285714</v>
      </c>
      <c r="Z20" s="9">
        <f t="shared" si="10"/>
        <v>0.0106</v>
      </c>
      <c r="AA20" s="9">
        <f t="shared" si="11"/>
        <v>0.666</v>
      </c>
      <c r="AB20" s="9">
        <f t="shared" si="12"/>
        <v>0.0523333333333333</v>
      </c>
      <c r="AC20" s="9">
        <f t="shared" si="13"/>
        <v>0.0429</v>
      </c>
      <c r="AD20" s="11">
        <f t="shared" si="14"/>
        <v>0.274855952380952</v>
      </c>
    </row>
    <row r="21" spans="1:30">
      <c r="A21" s="2" t="s">
        <v>67</v>
      </c>
      <c r="B21" s="2" t="s">
        <v>227</v>
      </c>
      <c r="C21" s="2" t="s">
        <v>31</v>
      </c>
      <c r="D21" s="2">
        <v>1.49</v>
      </c>
      <c r="E21" s="2">
        <v>0.9</v>
      </c>
      <c r="F21" s="2" t="s">
        <v>31</v>
      </c>
      <c r="G21" s="2" t="s">
        <v>31</v>
      </c>
      <c r="H21" s="2">
        <v>0.14</v>
      </c>
      <c r="I21" s="2">
        <v>2.37</v>
      </c>
      <c r="J21" s="2">
        <v>0.02</v>
      </c>
      <c r="K21" s="2">
        <v>11.6</v>
      </c>
      <c r="L21" s="2"/>
      <c r="M21" s="2"/>
      <c r="N21" s="2"/>
      <c r="O21" s="2" t="s">
        <v>31</v>
      </c>
      <c r="P21" s="8"/>
      <c r="Q21" s="9"/>
      <c r="R21" s="9">
        <f t="shared" si="2"/>
        <v>0.0149</v>
      </c>
      <c r="S21" s="9">
        <f t="shared" si="3"/>
        <v>0.018</v>
      </c>
      <c r="T21" s="9"/>
      <c r="U21" s="9"/>
      <c r="V21" s="9">
        <f t="shared" si="6"/>
        <v>0.00014</v>
      </c>
      <c r="W21" s="9">
        <f t="shared" si="7"/>
        <v>0.00237</v>
      </c>
      <c r="X21" s="9">
        <f t="shared" si="8"/>
        <v>0.000285714285714286</v>
      </c>
      <c r="Y21" s="9">
        <f t="shared" si="9"/>
        <v>0.0165714285714286</v>
      </c>
      <c r="Z21" s="9">
        <f t="shared" si="10"/>
        <v>0</v>
      </c>
      <c r="AA21" s="9">
        <f t="shared" si="11"/>
        <v>0</v>
      </c>
      <c r="AB21" s="9">
        <f t="shared" si="12"/>
        <v>0</v>
      </c>
      <c r="AC21" s="9"/>
      <c r="AD21" s="11">
        <f t="shared" si="14"/>
        <v>0.00373336734693878</v>
      </c>
    </row>
    <row r="22" spans="1:30">
      <c r="A22" s="2" t="s">
        <v>69</v>
      </c>
      <c r="B22" s="2">
        <v>0.66</v>
      </c>
      <c r="C22" s="2">
        <v>0.649</v>
      </c>
      <c r="D22" s="2">
        <v>200</v>
      </c>
      <c r="E22" s="2">
        <v>9.17</v>
      </c>
      <c r="F22" s="2">
        <v>1.06</v>
      </c>
      <c r="G22" s="2">
        <v>10.7</v>
      </c>
      <c r="H22" s="2">
        <v>4.94</v>
      </c>
      <c r="I22" s="2">
        <v>5.25</v>
      </c>
      <c r="J22" s="2">
        <v>0.195</v>
      </c>
      <c r="K22" s="2">
        <v>396</v>
      </c>
      <c r="L22" s="2">
        <v>0.034</v>
      </c>
      <c r="M22" s="2">
        <v>1202</v>
      </c>
      <c r="N22" s="2">
        <v>2246</v>
      </c>
      <c r="O22" s="2">
        <v>109</v>
      </c>
      <c r="P22" s="8">
        <f t="shared" si="0"/>
        <v>0.066</v>
      </c>
      <c r="Q22" s="9">
        <f t="shared" si="1"/>
        <v>0.3245</v>
      </c>
      <c r="R22" s="9">
        <f t="shared" si="2"/>
        <v>2</v>
      </c>
      <c r="S22" s="9">
        <f t="shared" si="3"/>
        <v>0.1834</v>
      </c>
      <c r="T22" s="9">
        <f t="shared" si="4"/>
        <v>0.0212</v>
      </c>
      <c r="U22" s="9">
        <f t="shared" si="5"/>
        <v>0.535</v>
      </c>
      <c r="V22" s="9">
        <f t="shared" si="6"/>
        <v>0.00494</v>
      </c>
      <c r="W22" s="9">
        <f t="shared" si="7"/>
        <v>0.00525</v>
      </c>
      <c r="X22" s="9">
        <f t="shared" si="8"/>
        <v>0.00278571428571429</v>
      </c>
      <c r="Y22" s="9">
        <f t="shared" si="9"/>
        <v>0.565714285714286</v>
      </c>
      <c r="Z22" s="9">
        <f t="shared" si="10"/>
        <v>0.00113333333333333</v>
      </c>
      <c r="AA22" s="9">
        <f t="shared" si="11"/>
        <v>2.404</v>
      </c>
      <c r="AB22" s="9">
        <f t="shared" si="12"/>
        <v>7.48666666666667</v>
      </c>
      <c r="AC22" s="9">
        <f t="shared" si="13"/>
        <v>0.545</v>
      </c>
      <c r="AD22" s="10">
        <f t="shared" si="14"/>
        <v>1.01039928571429</v>
      </c>
    </row>
    <row r="23" spans="1:30">
      <c r="A23" s="2" t="s">
        <v>71</v>
      </c>
      <c r="B23" s="2" t="s">
        <v>227</v>
      </c>
      <c r="C23" s="2">
        <v>7.28</v>
      </c>
      <c r="D23" s="2">
        <v>73.7</v>
      </c>
      <c r="E23" s="2">
        <v>8.44</v>
      </c>
      <c r="F23" s="2">
        <v>0.325</v>
      </c>
      <c r="G23" s="2">
        <v>7.75</v>
      </c>
      <c r="H23" s="2">
        <v>0.961</v>
      </c>
      <c r="I23" s="2">
        <v>2.7</v>
      </c>
      <c r="J23" s="2">
        <v>0.192</v>
      </c>
      <c r="K23" s="2">
        <v>1186</v>
      </c>
      <c r="L23" s="2">
        <v>0.053</v>
      </c>
      <c r="M23" s="2">
        <v>3788</v>
      </c>
      <c r="N23" s="2">
        <v>545</v>
      </c>
      <c r="O23" s="2">
        <v>9.85</v>
      </c>
      <c r="P23" s="8"/>
      <c r="Q23" s="9">
        <f t="shared" si="1"/>
        <v>3.64</v>
      </c>
      <c r="R23" s="9">
        <f t="shared" si="2"/>
        <v>0.737</v>
      </c>
      <c r="S23" s="9">
        <f t="shared" si="3"/>
        <v>0.1688</v>
      </c>
      <c r="T23" s="9">
        <f t="shared" si="4"/>
        <v>0.0065</v>
      </c>
      <c r="U23" s="9">
        <f t="shared" si="5"/>
        <v>0.3875</v>
      </c>
      <c r="V23" s="9">
        <f t="shared" si="6"/>
        <v>0.000961</v>
      </c>
      <c r="W23" s="9">
        <f t="shared" si="7"/>
        <v>0.0027</v>
      </c>
      <c r="X23" s="9">
        <f t="shared" si="8"/>
        <v>0.00274285714285714</v>
      </c>
      <c r="Y23" s="9">
        <f t="shared" si="9"/>
        <v>1.69428571428571</v>
      </c>
      <c r="Z23" s="9">
        <f t="shared" si="10"/>
        <v>0.00176666666666667</v>
      </c>
      <c r="AA23" s="9">
        <f t="shared" si="11"/>
        <v>7.576</v>
      </c>
      <c r="AB23" s="9">
        <f t="shared" si="12"/>
        <v>1.81666666666667</v>
      </c>
      <c r="AC23" s="9">
        <f t="shared" si="13"/>
        <v>0.04925</v>
      </c>
      <c r="AD23" s="10">
        <f t="shared" si="14"/>
        <v>1.14886949319728</v>
      </c>
    </row>
    <row r="24" spans="1:30">
      <c r="A24" s="2" t="s">
        <v>73</v>
      </c>
      <c r="B24" s="2" t="s">
        <v>227</v>
      </c>
      <c r="C24" s="2">
        <v>10.9</v>
      </c>
      <c r="D24" s="2">
        <v>106</v>
      </c>
      <c r="E24" s="2">
        <v>8.05</v>
      </c>
      <c r="F24" s="2">
        <v>0.221</v>
      </c>
      <c r="G24" s="2">
        <v>5.43</v>
      </c>
      <c r="H24" s="2">
        <v>0.665</v>
      </c>
      <c r="I24" s="2">
        <v>1.61</v>
      </c>
      <c r="J24" s="2">
        <v>0.721</v>
      </c>
      <c r="K24" s="2">
        <v>65.6</v>
      </c>
      <c r="L24" s="2">
        <v>0.03</v>
      </c>
      <c r="M24" s="2">
        <v>2357</v>
      </c>
      <c r="N24" s="2">
        <v>352</v>
      </c>
      <c r="O24" s="2">
        <v>10.7</v>
      </c>
      <c r="P24" s="8"/>
      <c r="Q24" s="9">
        <f t="shared" si="1"/>
        <v>5.45</v>
      </c>
      <c r="R24" s="9">
        <f t="shared" si="2"/>
        <v>1.06</v>
      </c>
      <c r="S24" s="9">
        <f t="shared" si="3"/>
        <v>0.161</v>
      </c>
      <c r="T24" s="9">
        <f t="shared" si="4"/>
        <v>0.00442</v>
      </c>
      <c r="U24" s="9">
        <f t="shared" si="5"/>
        <v>0.2715</v>
      </c>
      <c r="V24" s="9">
        <f t="shared" si="6"/>
        <v>0.000665</v>
      </c>
      <c r="W24" s="9">
        <f t="shared" si="7"/>
        <v>0.00161</v>
      </c>
      <c r="X24" s="9">
        <f t="shared" si="8"/>
        <v>0.0103</v>
      </c>
      <c r="Y24" s="9">
        <f t="shared" si="9"/>
        <v>0.0937142857142857</v>
      </c>
      <c r="Z24" s="9">
        <f t="shared" si="10"/>
        <v>0.001</v>
      </c>
      <c r="AA24" s="9">
        <f t="shared" si="11"/>
        <v>4.714</v>
      </c>
      <c r="AB24" s="9">
        <f t="shared" si="12"/>
        <v>1.17333333333333</v>
      </c>
      <c r="AC24" s="9">
        <f t="shared" si="13"/>
        <v>0.0535</v>
      </c>
      <c r="AD24" s="11">
        <f t="shared" si="14"/>
        <v>0.928217329931973</v>
      </c>
    </row>
    <row r="25" spans="1:30">
      <c r="A25" s="2" t="s">
        <v>75</v>
      </c>
      <c r="B25" s="2" t="s">
        <v>227</v>
      </c>
      <c r="C25" s="2">
        <v>5.27</v>
      </c>
      <c r="D25" s="2">
        <v>200</v>
      </c>
      <c r="E25" s="2">
        <v>1.7</v>
      </c>
      <c r="F25" s="2">
        <v>0.048</v>
      </c>
      <c r="G25" s="2">
        <v>1.06</v>
      </c>
      <c r="H25" s="2">
        <v>0.326</v>
      </c>
      <c r="I25" s="2" t="s">
        <v>31</v>
      </c>
      <c r="J25" s="2">
        <v>0.165</v>
      </c>
      <c r="K25" s="2">
        <v>314</v>
      </c>
      <c r="L25" s="2">
        <v>0.443</v>
      </c>
      <c r="M25" s="2">
        <v>485</v>
      </c>
      <c r="N25" s="2">
        <v>1019</v>
      </c>
      <c r="O25" s="2">
        <v>23.1</v>
      </c>
      <c r="P25" s="8"/>
      <c r="Q25" s="9">
        <f t="shared" si="1"/>
        <v>2.635</v>
      </c>
      <c r="R25" s="9">
        <f t="shared" si="2"/>
        <v>2</v>
      </c>
      <c r="S25" s="9">
        <f t="shared" si="3"/>
        <v>0.034</v>
      </c>
      <c r="T25" s="9">
        <f t="shared" si="4"/>
        <v>0.00096</v>
      </c>
      <c r="U25" s="9">
        <f t="shared" si="5"/>
        <v>0.053</v>
      </c>
      <c r="V25" s="9">
        <f t="shared" si="6"/>
        <v>0.000326</v>
      </c>
      <c r="W25" s="9"/>
      <c r="X25" s="9">
        <f t="shared" si="8"/>
        <v>0.00235714285714286</v>
      </c>
      <c r="Y25" s="9">
        <f t="shared" si="9"/>
        <v>0.448571428571429</v>
      </c>
      <c r="Z25" s="9">
        <f t="shared" si="10"/>
        <v>0.0147666666666667</v>
      </c>
      <c r="AA25" s="9">
        <f t="shared" si="11"/>
        <v>0.97</v>
      </c>
      <c r="AB25" s="9">
        <f t="shared" si="12"/>
        <v>3.39666666666667</v>
      </c>
      <c r="AC25" s="9">
        <f t="shared" si="13"/>
        <v>0.1155</v>
      </c>
      <c r="AD25" s="11">
        <f t="shared" si="14"/>
        <v>0.690796278911565</v>
      </c>
    </row>
    <row r="26" spans="1:30">
      <c r="A26" s="2" t="s">
        <v>77</v>
      </c>
      <c r="B26" s="2">
        <v>0.61</v>
      </c>
      <c r="C26" s="2">
        <v>0.42</v>
      </c>
      <c r="D26" s="2">
        <v>6.05</v>
      </c>
      <c r="E26" s="2">
        <v>2.17</v>
      </c>
      <c r="F26" s="2">
        <v>0.028</v>
      </c>
      <c r="G26" s="2">
        <v>0.345</v>
      </c>
      <c r="H26" s="2">
        <v>0.456</v>
      </c>
      <c r="I26" s="2">
        <v>3.16</v>
      </c>
      <c r="J26" s="2">
        <v>13.9</v>
      </c>
      <c r="K26" s="2">
        <v>2.43</v>
      </c>
      <c r="L26" s="2">
        <v>0.553</v>
      </c>
      <c r="M26" s="2">
        <v>192</v>
      </c>
      <c r="N26" s="2">
        <v>50.7</v>
      </c>
      <c r="O26" s="2">
        <v>63.2</v>
      </c>
      <c r="P26" s="8">
        <f t="shared" si="0"/>
        <v>0.061</v>
      </c>
      <c r="Q26" s="9">
        <f t="shared" si="1"/>
        <v>0.21</v>
      </c>
      <c r="R26" s="9">
        <f t="shared" si="2"/>
        <v>0.0605</v>
      </c>
      <c r="S26" s="9">
        <f t="shared" si="3"/>
        <v>0.0434</v>
      </c>
      <c r="T26" s="9">
        <f t="shared" si="4"/>
        <v>0.00056</v>
      </c>
      <c r="U26" s="9">
        <f t="shared" si="5"/>
        <v>0.01725</v>
      </c>
      <c r="V26" s="9">
        <f t="shared" si="6"/>
        <v>0.000456</v>
      </c>
      <c r="W26" s="9">
        <f t="shared" si="7"/>
        <v>0.00316</v>
      </c>
      <c r="X26" s="9">
        <f t="shared" si="8"/>
        <v>0.198571428571429</v>
      </c>
      <c r="Y26" s="9">
        <f t="shared" si="9"/>
        <v>0.00347142857142857</v>
      </c>
      <c r="Z26" s="9">
        <f t="shared" si="10"/>
        <v>0.0184333333333333</v>
      </c>
      <c r="AA26" s="9">
        <f t="shared" si="11"/>
        <v>0.384</v>
      </c>
      <c r="AB26" s="9">
        <f t="shared" si="12"/>
        <v>0.169</v>
      </c>
      <c r="AC26" s="9">
        <f t="shared" si="13"/>
        <v>0.316</v>
      </c>
      <c r="AD26" s="11">
        <f t="shared" si="14"/>
        <v>0.106128727891156</v>
      </c>
    </row>
    <row r="27" spans="1:30">
      <c r="A27" s="2" t="s">
        <v>79</v>
      </c>
      <c r="B27" s="2" t="s">
        <v>227</v>
      </c>
      <c r="C27" s="2">
        <v>6.45</v>
      </c>
      <c r="D27" s="2">
        <v>169</v>
      </c>
      <c r="E27" s="2">
        <v>1.81</v>
      </c>
      <c r="F27" s="2">
        <v>0.096</v>
      </c>
      <c r="G27" s="2">
        <v>1.05</v>
      </c>
      <c r="H27" s="2">
        <v>0.396</v>
      </c>
      <c r="I27" s="2">
        <v>3.74</v>
      </c>
      <c r="J27" s="2">
        <v>0.117</v>
      </c>
      <c r="K27" s="2">
        <v>246</v>
      </c>
      <c r="L27" s="2">
        <v>0.295</v>
      </c>
      <c r="M27" s="2">
        <v>769</v>
      </c>
      <c r="N27" s="2">
        <v>524</v>
      </c>
      <c r="O27" s="2">
        <v>8.31</v>
      </c>
      <c r="P27" s="8"/>
      <c r="Q27" s="9">
        <f t="shared" si="1"/>
        <v>3.225</v>
      </c>
      <c r="R27" s="9">
        <f t="shared" si="2"/>
        <v>1.69</v>
      </c>
      <c r="S27" s="9">
        <f t="shared" si="3"/>
        <v>0.0362</v>
      </c>
      <c r="T27" s="9">
        <f t="shared" si="4"/>
        <v>0.00192</v>
      </c>
      <c r="U27" s="9">
        <f t="shared" si="5"/>
        <v>0.0525</v>
      </c>
      <c r="V27" s="9">
        <f t="shared" si="6"/>
        <v>0.000396</v>
      </c>
      <c r="W27" s="9">
        <f t="shared" si="7"/>
        <v>0.00374</v>
      </c>
      <c r="X27" s="9">
        <f t="shared" si="8"/>
        <v>0.00167142857142857</v>
      </c>
      <c r="Y27" s="9">
        <f t="shared" si="9"/>
        <v>0.351428571428571</v>
      </c>
      <c r="Z27" s="9">
        <f t="shared" si="10"/>
        <v>0.00983333333333333</v>
      </c>
      <c r="AA27" s="9">
        <f t="shared" si="11"/>
        <v>1.538</v>
      </c>
      <c r="AB27" s="9">
        <f t="shared" si="12"/>
        <v>1.74666666666667</v>
      </c>
      <c r="AC27" s="9">
        <f t="shared" si="13"/>
        <v>0.04155</v>
      </c>
      <c r="AD27" s="11">
        <f t="shared" si="14"/>
        <v>0.621350428571429</v>
      </c>
    </row>
    <row r="28" spans="1:30">
      <c r="A28" s="2" t="s">
        <v>81</v>
      </c>
      <c r="B28" s="2" t="s">
        <v>227</v>
      </c>
      <c r="C28" s="2">
        <v>2.58</v>
      </c>
      <c r="D28" s="2">
        <v>127</v>
      </c>
      <c r="E28" s="2">
        <v>1.47</v>
      </c>
      <c r="F28" s="2">
        <v>0.02</v>
      </c>
      <c r="G28" s="2">
        <v>0.332</v>
      </c>
      <c r="H28" s="2">
        <v>0.408</v>
      </c>
      <c r="I28" s="2">
        <v>3.6</v>
      </c>
      <c r="J28" s="2">
        <v>0.075</v>
      </c>
      <c r="K28" s="2">
        <v>43.2</v>
      </c>
      <c r="L28" s="2">
        <v>0.99</v>
      </c>
      <c r="M28" s="2">
        <v>669</v>
      </c>
      <c r="N28" s="2">
        <v>15.1</v>
      </c>
      <c r="O28" s="2" t="s">
        <v>31</v>
      </c>
      <c r="P28" s="8"/>
      <c r="Q28" s="9">
        <f t="shared" si="1"/>
        <v>1.29</v>
      </c>
      <c r="R28" s="9">
        <f t="shared" si="2"/>
        <v>1.27</v>
      </c>
      <c r="S28" s="9">
        <f t="shared" si="3"/>
        <v>0.0294</v>
      </c>
      <c r="T28" s="9">
        <f t="shared" si="4"/>
        <v>0.0004</v>
      </c>
      <c r="U28" s="9">
        <f t="shared" si="5"/>
        <v>0.0166</v>
      </c>
      <c r="V28" s="9">
        <f t="shared" si="6"/>
        <v>0.000408</v>
      </c>
      <c r="W28" s="9">
        <f t="shared" si="7"/>
        <v>0.0036</v>
      </c>
      <c r="X28" s="9">
        <f t="shared" si="8"/>
        <v>0.00107142857142857</v>
      </c>
      <c r="Y28" s="9">
        <f t="shared" si="9"/>
        <v>0.0617142857142857</v>
      </c>
      <c r="Z28" s="9">
        <f t="shared" si="10"/>
        <v>0.033</v>
      </c>
      <c r="AA28" s="9">
        <f t="shared" si="11"/>
        <v>1.338</v>
      </c>
      <c r="AB28" s="9">
        <f t="shared" si="12"/>
        <v>0.0503333333333333</v>
      </c>
      <c r="AC28" s="9"/>
      <c r="AD28" s="11">
        <f t="shared" si="14"/>
        <v>0.292466217687075</v>
      </c>
    </row>
    <row r="29" spans="1:30">
      <c r="A29" s="2" t="s">
        <v>83</v>
      </c>
      <c r="B29" s="2">
        <v>1.42</v>
      </c>
      <c r="C29" s="2">
        <v>8.46</v>
      </c>
      <c r="D29" s="2">
        <v>86.4</v>
      </c>
      <c r="E29" s="2">
        <v>1.61</v>
      </c>
      <c r="F29" s="2">
        <v>0.064</v>
      </c>
      <c r="G29" s="2">
        <v>1.43</v>
      </c>
      <c r="H29" s="2">
        <v>0.463</v>
      </c>
      <c r="I29" s="2">
        <v>4.76</v>
      </c>
      <c r="J29" s="2">
        <v>0.196</v>
      </c>
      <c r="K29" s="2">
        <v>298</v>
      </c>
      <c r="L29" s="2">
        <v>0.283</v>
      </c>
      <c r="M29" s="2">
        <v>1134</v>
      </c>
      <c r="N29" s="2">
        <v>1024</v>
      </c>
      <c r="O29" s="2">
        <v>10.6</v>
      </c>
      <c r="P29" s="8">
        <f t="shared" si="0"/>
        <v>0.142</v>
      </c>
      <c r="Q29" s="9">
        <f t="shared" si="1"/>
        <v>4.23</v>
      </c>
      <c r="R29" s="9">
        <f t="shared" si="2"/>
        <v>0.864</v>
      </c>
      <c r="S29" s="9">
        <f t="shared" si="3"/>
        <v>0.0322</v>
      </c>
      <c r="T29" s="9">
        <f t="shared" si="4"/>
        <v>0.00128</v>
      </c>
      <c r="U29" s="9">
        <f t="shared" si="5"/>
        <v>0.0715</v>
      </c>
      <c r="V29" s="9">
        <f t="shared" si="6"/>
        <v>0.000463</v>
      </c>
      <c r="W29" s="9">
        <f t="shared" si="7"/>
        <v>0.00476</v>
      </c>
      <c r="X29" s="9">
        <f t="shared" si="8"/>
        <v>0.0028</v>
      </c>
      <c r="Y29" s="9">
        <f t="shared" si="9"/>
        <v>0.425714285714286</v>
      </c>
      <c r="Z29" s="9">
        <f t="shared" si="10"/>
        <v>0.00943333333333333</v>
      </c>
      <c r="AA29" s="9">
        <f t="shared" si="11"/>
        <v>2.268</v>
      </c>
      <c r="AB29" s="9">
        <f t="shared" si="12"/>
        <v>3.41333333333333</v>
      </c>
      <c r="AC29" s="9">
        <f t="shared" si="13"/>
        <v>0.053</v>
      </c>
      <c r="AD29" s="11">
        <f t="shared" si="14"/>
        <v>0.822748853741497</v>
      </c>
    </row>
    <row r="30" spans="1:30">
      <c r="A30" s="2" t="s">
        <v>85</v>
      </c>
      <c r="B30" s="2" t="s">
        <v>227</v>
      </c>
      <c r="C30" s="2">
        <v>7.4</v>
      </c>
      <c r="D30" s="2">
        <v>107</v>
      </c>
      <c r="E30" s="2">
        <v>1.35</v>
      </c>
      <c r="F30" s="2">
        <v>0.186</v>
      </c>
      <c r="G30" s="2">
        <v>1.58</v>
      </c>
      <c r="H30" s="2">
        <v>0.263</v>
      </c>
      <c r="I30" s="2">
        <v>3.55</v>
      </c>
      <c r="J30" s="2">
        <v>0.219</v>
      </c>
      <c r="K30" s="2">
        <v>225</v>
      </c>
      <c r="L30" s="2">
        <v>0.196</v>
      </c>
      <c r="M30" s="2">
        <v>715</v>
      </c>
      <c r="N30" s="2">
        <v>1833</v>
      </c>
      <c r="O30" s="2">
        <v>6.12</v>
      </c>
      <c r="P30" s="8"/>
      <c r="Q30" s="9">
        <f t="shared" si="1"/>
        <v>3.7</v>
      </c>
      <c r="R30" s="9">
        <f t="shared" si="2"/>
        <v>1.07</v>
      </c>
      <c r="S30" s="9">
        <f t="shared" si="3"/>
        <v>0.027</v>
      </c>
      <c r="T30" s="9">
        <f t="shared" si="4"/>
        <v>0.00372</v>
      </c>
      <c r="U30" s="9">
        <f t="shared" si="5"/>
        <v>0.079</v>
      </c>
      <c r="V30" s="9">
        <f t="shared" si="6"/>
        <v>0.000263</v>
      </c>
      <c r="W30" s="9">
        <f t="shared" si="7"/>
        <v>0.00355</v>
      </c>
      <c r="X30" s="9">
        <f t="shared" si="8"/>
        <v>0.00312857142857143</v>
      </c>
      <c r="Y30" s="9">
        <f t="shared" si="9"/>
        <v>0.321428571428571</v>
      </c>
      <c r="Z30" s="9">
        <f t="shared" si="10"/>
        <v>0.00653333333333333</v>
      </c>
      <c r="AA30" s="9">
        <f t="shared" si="11"/>
        <v>1.43</v>
      </c>
      <c r="AB30" s="9">
        <f t="shared" si="12"/>
        <v>6.11</v>
      </c>
      <c r="AC30" s="9">
        <f t="shared" si="13"/>
        <v>0.0306</v>
      </c>
      <c r="AD30" s="11">
        <f t="shared" si="14"/>
        <v>0.91323024829932</v>
      </c>
    </row>
    <row r="31" spans="1:30">
      <c r="A31" s="2" t="s">
        <v>87</v>
      </c>
      <c r="B31" s="2" t="s">
        <v>227</v>
      </c>
      <c r="C31" s="2">
        <v>0.972</v>
      </c>
      <c r="D31" s="2">
        <v>61.2</v>
      </c>
      <c r="E31" s="2">
        <v>2.34</v>
      </c>
      <c r="F31" s="2">
        <v>0.381</v>
      </c>
      <c r="G31" s="2">
        <v>9.09</v>
      </c>
      <c r="H31" s="2">
        <v>1.55</v>
      </c>
      <c r="I31" s="2">
        <v>3.82</v>
      </c>
      <c r="J31" s="2">
        <v>0.116</v>
      </c>
      <c r="K31" s="2">
        <v>161</v>
      </c>
      <c r="L31" s="2">
        <v>0.692</v>
      </c>
      <c r="M31" s="2">
        <v>564</v>
      </c>
      <c r="N31" s="2">
        <v>9.51</v>
      </c>
      <c r="O31" s="2">
        <v>57.9</v>
      </c>
      <c r="P31" s="8"/>
      <c r="Q31" s="9">
        <f t="shared" si="1"/>
        <v>0.486</v>
      </c>
      <c r="R31" s="9">
        <f t="shared" si="2"/>
        <v>0.612</v>
      </c>
      <c r="S31" s="9">
        <f t="shared" si="3"/>
        <v>0.0468</v>
      </c>
      <c r="T31" s="9">
        <f t="shared" si="4"/>
        <v>0.00762</v>
      </c>
      <c r="U31" s="9">
        <f t="shared" si="5"/>
        <v>0.4545</v>
      </c>
      <c r="V31" s="9">
        <f t="shared" si="6"/>
        <v>0.00155</v>
      </c>
      <c r="W31" s="9">
        <f t="shared" si="7"/>
        <v>0.00382</v>
      </c>
      <c r="X31" s="9">
        <f t="shared" si="8"/>
        <v>0.00165714285714286</v>
      </c>
      <c r="Y31" s="9">
        <f t="shared" si="9"/>
        <v>0.23</v>
      </c>
      <c r="Z31" s="9">
        <f t="shared" si="10"/>
        <v>0.0230666666666667</v>
      </c>
      <c r="AA31" s="9">
        <f t="shared" si="11"/>
        <v>1.128</v>
      </c>
      <c r="AB31" s="9">
        <f t="shared" si="12"/>
        <v>0.0317</v>
      </c>
      <c r="AC31" s="9">
        <f t="shared" si="13"/>
        <v>0.2895</v>
      </c>
      <c r="AD31" s="11">
        <f t="shared" si="14"/>
        <v>0.236872414965986</v>
      </c>
    </row>
    <row r="32" spans="1:30">
      <c r="A32" s="2" t="s">
        <v>89</v>
      </c>
      <c r="B32" s="2">
        <v>2.73</v>
      </c>
      <c r="C32" s="2">
        <v>2.5</v>
      </c>
      <c r="D32" s="2">
        <v>7.43</v>
      </c>
      <c r="E32" s="2">
        <v>2.46</v>
      </c>
      <c r="F32" s="2">
        <v>0.201</v>
      </c>
      <c r="G32" s="2">
        <v>2.81</v>
      </c>
      <c r="H32" s="2">
        <v>0.65</v>
      </c>
      <c r="I32" s="2">
        <v>3.52</v>
      </c>
      <c r="J32" s="2">
        <v>0.376</v>
      </c>
      <c r="K32" s="2">
        <v>778</v>
      </c>
      <c r="L32" s="2">
        <v>0.18</v>
      </c>
      <c r="M32" s="2">
        <v>3487</v>
      </c>
      <c r="N32" s="2">
        <v>223</v>
      </c>
      <c r="O32" s="2">
        <v>13.5</v>
      </c>
      <c r="P32" s="8">
        <f t="shared" si="0"/>
        <v>0.273</v>
      </c>
      <c r="Q32" s="9">
        <f t="shared" si="1"/>
        <v>1.25</v>
      </c>
      <c r="R32" s="9">
        <f t="shared" si="2"/>
        <v>0.0743</v>
      </c>
      <c r="S32" s="9">
        <f t="shared" si="3"/>
        <v>0.0492</v>
      </c>
      <c r="T32" s="9">
        <f t="shared" si="4"/>
        <v>0.00402</v>
      </c>
      <c r="U32" s="9">
        <f t="shared" si="5"/>
        <v>0.1405</v>
      </c>
      <c r="V32" s="9">
        <f t="shared" si="6"/>
        <v>0.00065</v>
      </c>
      <c r="W32" s="9">
        <f t="shared" si="7"/>
        <v>0.00352</v>
      </c>
      <c r="X32" s="9">
        <f t="shared" si="8"/>
        <v>0.00537142857142857</v>
      </c>
      <c r="Y32" s="9">
        <f t="shared" si="9"/>
        <v>1.11142857142857</v>
      </c>
      <c r="Z32" s="9">
        <f t="shared" si="10"/>
        <v>0.006</v>
      </c>
      <c r="AA32" s="9">
        <f t="shared" si="11"/>
        <v>6.974</v>
      </c>
      <c r="AB32" s="9">
        <f t="shared" si="12"/>
        <v>0.743333333333333</v>
      </c>
      <c r="AC32" s="9">
        <f t="shared" si="13"/>
        <v>0.0675</v>
      </c>
      <c r="AD32" s="11">
        <f t="shared" si="14"/>
        <v>0.764487380952381</v>
      </c>
    </row>
    <row r="33" spans="1:30">
      <c r="A33" s="2" t="s">
        <v>92</v>
      </c>
      <c r="B33" s="2">
        <v>0.75</v>
      </c>
      <c r="C33" s="2">
        <v>1.12</v>
      </c>
      <c r="D33" s="2">
        <v>59.6</v>
      </c>
      <c r="E33" s="2">
        <v>8.41</v>
      </c>
      <c r="F33" s="2">
        <v>0.171</v>
      </c>
      <c r="G33" s="2">
        <v>3.5</v>
      </c>
      <c r="H33" s="2">
        <v>0.547</v>
      </c>
      <c r="I33" s="2">
        <v>0.647</v>
      </c>
      <c r="J33" s="2">
        <v>0.162</v>
      </c>
      <c r="K33" s="2">
        <v>68.9</v>
      </c>
      <c r="L33" s="2">
        <v>0.169</v>
      </c>
      <c r="M33" s="2"/>
      <c r="N33" s="2">
        <v>14.8</v>
      </c>
      <c r="O33" s="2">
        <v>20.9</v>
      </c>
      <c r="P33" s="8">
        <f t="shared" si="0"/>
        <v>0.075</v>
      </c>
      <c r="Q33" s="9">
        <f t="shared" si="1"/>
        <v>0.56</v>
      </c>
      <c r="R33" s="9">
        <f t="shared" si="2"/>
        <v>0.596</v>
      </c>
      <c r="S33" s="9">
        <f t="shared" si="3"/>
        <v>0.1682</v>
      </c>
      <c r="T33" s="9">
        <f t="shared" si="4"/>
        <v>0.00342</v>
      </c>
      <c r="U33" s="9">
        <f t="shared" si="5"/>
        <v>0.175</v>
      </c>
      <c r="V33" s="9">
        <f t="shared" si="6"/>
        <v>0.000547</v>
      </c>
      <c r="W33" s="9">
        <f t="shared" si="7"/>
        <v>0.000647</v>
      </c>
      <c r="X33" s="9">
        <f t="shared" si="8"/>
        <v>0.00231428571428571</v>
      </c>
      <c r="Y33" s="9">
        <f t="shared" si="9"/>
        <v>0.0984285714285714</v>
      </c>
      <c r="Z33" s="9">
        <f t="shared" si="10"/>
        <v>0.00563333333333333</v>
      </c>
      <c r="AA33" s="9">
        <f t="shared" si="11"/>
        <v>0</v>
      </c>
      <c r="AB33" s="9">
        <f t="shared" si="12"/>
        <v>0.0493333333333333</v>
      </c>
      <c r="AC33" s="9">
        <f t="shared" si="13"/>
        <v>0.1045</v>
      </c>
      <c r="AD33" s="11">
        <f t="shared" si="14"/>
        <v>0.131358823129252</v>
      </c>
    </row>
    <row r="34" spans="1:30">
      <c r="A34" s="2" t="s">
        <v>94</v>
      </c>
      <c r="B34" s="2">
        <v>36.7</v>
      </c>
      <c r="C34" s="2">
        <v>1.8</v>
      </c>
      <c r="D34" s="2">
        <v>212</v>
      </c>
      <c r="E34" s="2">
        <v>1.33</v>
      </c>
      <c r="F34" s="2">
        <v>0.096</v>
      </c>
      <c r="G34" s="2">
        <v>2.05</v>
      </c>
      <c r="H34" s="2">
        <v>0.472</v>
      </c>
      <c r="I34" s="2">
        <v>1.22</v>
      </c>
      <c r="J34" s="2">
        <v>0.018</v>
      </c>
      <c r="K34" s="2">
        <v>133</v>
      </c>
      <c r="L34" s="2">
        <v>0.01</v>
      </c>
      <c r="M34" s="2">
        <v>3031</v>
      </c>
      <c r="N34" s="2">
        <v>5.55</v>
      </c>
      <c r="O34" s="2">
        <v>18.8</v>
      </c>
      <c r="P34" s="8">
        <f t="shared" si="0"/>
        <v>3.67</v>
      </c>
      <c r="Q34" s="9">
        <f t="shared" si="1"/>
        <v>0.9</v>
      </c>
      <c r="R34" s="9">
        <f t="shared" si="2"/>
        <v>2.12</v>
      </c>
      <c r="S34" s="9">
        <f t="shared" si="3"/>
        <v>0.0266</v>
      </c>
      <c r="T34" s="9">
        <f t="shared" si="4"/>
        <v>0.00192</v>
      </c>
      <c r="U34" s="9">
        <f t="shared" si="5"/>
        <v>0.1025</v>
      </c>
      <c r="V34" s="9">
        <f t="shared" si="6"/>
        <v>0.000472</v>
      </c>
      <c r="W34" s="9">
        <f t="shared" si="7"/>
        <v>0.00122</v>
      </c>
      <c r="X34" s="9">
        <f t="shared" si="8"/>
        <v>0.000257142857142857</v>
      </c>
      <c r="Y34" s="9">
        <f t="shared" si="9"/>
        <v>0.19</v>
      </c>
      <c r="Z34" s="9">
        <f t="shared" si="10"/>
        <v>0.000333333333333333</v>
      </c>
      <c r="AA34" s="9">
        <f t="shared" si="11"/>
        <v>6.062</v>
      </c>
      <c r="AB34" s="9">
        <f t="shared" si="12"/>
        <v>0.0185</v>
      </c>
      <c r="AC34" s="9">
        <f t="shared" si="13"/>
        <v>0.094</v>
      </c>
      <c r="AD34" s="11">
        <f t="shared" si="14"/>
        <v>0.941985891156463</v>
      </c>
    </row>
    <row r="35" spans="1:30">
      <c r="A35" s="2" t="s">
        <v>96</v>
      </c>
      <c r="B35" s="2" t="s">
        <v>227</v>
      </c>
      <c r="C35" s="2">
        <v>1.59</v>
      </c>
      <c r="D35" s="2">
        <v>189</v>
      </c>
      <c r="E35" s="2">
        <v>1.55</v>
      </c>
      <c r="F35" s="2">
        <v>0.142</v>
      </c>
      <c r="G35" s="2">
        <v>1.96</v>
      </c>
      <c r="H35" s="2">
        <v>1.32</v>
      </c>
      <c r="I35" s="2" t="s">
        <v>31</v>
      </c>
      <c r="J35" s="2">
        <v>0.164</v>
      </c>
      <c r="K35" s="2">
        <v>49.2</v>
      </c>
      <c r="L35" s="2">
        <v>1.06</v>
      </c>
      <c r="M35" s="2">
        <v>801</v>
      </c>
      <c r="N35" s="2">
        <v>58.6</v>
      </c>
      <c r="O35" s="2">
        <v>14</v>
      </c>
      <c r="P35" s="8"/>
      <c r="Q35" s="9">
        <f t="shared" si="1"/>
        <v>0.795</v>
      </c>
      <c r="R35" s="9">
        <f t="shared" si="2"/>
        <v>1.89</v>
      </c>
      <c r="S35" s="9">
        <f t="shared" si="3"/>
        <v>0.031</v>
      </c>
      <c r="T35" s="9">
        <f t="shared" si="4"/>
        <v>0.00284</v>
      </c>
      <c r="U35" s="9">
        <f t="shared" si="5"/>
        <v>0.098</v>
      </c>
      <c r="V35" s="9">
        <f t="shared" si="6"/>
        <v>0.00132</v>
      </c>
      <c r="W35" s="9"/>
      <c r="X35" s="9">
        <f t="shared" si="8"/>
        <v>0.00234285714285714</v>
      </c>
      <c r="Y35" s="9">
        <f t="shared" si="9"/>
        <v>0.0702857142857143</v>
      </c>
      <c r="Z35" s="9">
        <f t="shared" si="10"/>
        <v>0.0353333333333333</v>
      </c>
      <c r="AA35" s="9">
        <f t="shared" si="11"/>
        <v>1.602</v>
      </c>
      <c r="AB35" s="9">
        <f t="shared" si="12"/>
        <v>0.195333333333333</v>
      </c>
      <c r="AC35" s="9">
        <f t="shared" si="13"/>
        <v>0.07</v>
      </c>
      <c r="AD35" s="11">
        <f t="shared" si="14"/>
        <v>0.342389659863946</v>
      </c>
    </row>
    <row r="36" spans="1:30">
      <c r="A36" s="2" t="s">
        <v>98</v>
      </c>
      <c r="B36" s="2" t="s">
        <v>227</v>
      </c>
      <c r="C36" s="2">
        <v>0.051</v>
      </c>
      <c r="D36" s="2">
        <v>51.8</v>
      </c>
      <c r="E36" s="2">
        <v>1.61</v>
      </c>
      <c r="F36" s="2">
        <v>0.084</v>
      </c>
      <c r="G36" s="2">
        <v>1.07</v>
      </c>
      <c r="H36" s="2">
        <v>1.02</v>
      </c>
      <c r="I36" s="2">
        <v>34.7</v>
      </c>
      <c r="J36" s="2">
        <v>0.101</v>
      </c>
      <c r="K36" s="2">
        <v>116</v>
      </c>
      <c r="L36" s="2">
        <v>0.081</v>
      </c>
      <c r="M36" s="2">
        <v>400</v>
      </c>
      <c r="N36" s="2">
        <v>33.1</v>
      </c>
      <c r="O36" s="2">
        <v>68.7</v>
      </c>
      <c r="P36" s="8"/>
      <c r="Q36" s="9">
        <f t="shared" si="1"/>
        <v>0.0255</v>
      </c>
      <c r="R36" s="9">
        <f t="shared" si="2"/>
        <v>0.518</v>
      </c>
      <c r="S36" s="9">
        <f t="shared" si="3"/>
        <v>0.0322</v>
      </c>
      <c r="T36" s="9">
        <f t="shared" si="4"/>
        <v>0.00168</v>
      </c>
      <c r="U36" s="9">
        <f t="shared" si="5"/>
        <v>0.0535</v>
      </c>
      <c r="V36" s="9">
        <f t="shared" si="6"/>
        <v>0.00102</v>
      </c>
      <c r="W36" s="9">
        <f t="shared" si="7"/>
        <v>0.0347</v>
      </c>
      <c r="X36" s="9">
        <f t="shared" si="8"/>
        <v>0.00144285714285714</v>
      </c>
      <c r="Y36" s="9">
        <f t="shared" si="9"/>
        <v>0.165714285714286</v>
      </c>
      <c r="Z36" s="9">
        <f t="shared" si="10"/>
        <v>0.0027</v>
      </c>
      <c r="AA36" s="9">
        <f t="shared" si="11"/>
        <v>0.8</v>
      </c>
      <c r="AB36" s="9">
        <f t="shared" si="12"/>
        <v>0.110333333333333</v>
      </c>
      <c r="AC36" s="9">
        <f t="shared" si="13"/>
        <v>0.3435</v>
      </c>
      <c r="AD36" s="11">
        <f t="shared" si="14"/>
        <v>0.149306462585034</v>
      </c>
    </row>
    <row r="37" spans="1:30">
      <c r="A37" s="2" t="s">
        <v>100</v>
      </c>
      <c r="B37" s="2">
        <v>1.31</v>
      </c>
      <c r="C37" s="2">
        <v>0.567</v>
      </c>
      <c r="D37" s="2">
        <v>181</v>
      </c>
      <c r="E37" s="2">
        <v>23.1</v>
      </c>
      <c r="F37" s="2">
        <v>4.7</v>
      </c>
      <c r="G37" s="2">
        <v>13</v>
      </c>
      <c r="H37" s="2">
        <v>14.8</v>
      </c>
      <c r="I37" s="2">
        <v>38.3</v>
      </c>
      <c r="J37" s="2">
        <v>0.386</v>
      </c>
      <c r="K37" s="2">
        <v>199</v>
      </c>
      <c r="L37" s="2">
        <v>0.966</v>
      </c>
      <c r="M37" s="2">
        <v>551</v>
      </c>
      <c r="N37" s="2"/>
      <c r="O37" s="2" t="s">
        <v>31</v>
      </c>
      <c r="P37" s="8">
        <f t="shared" si="0"/>
        <v>0.131</v>
      </c>
      <c r="Q37" s="9">
        <f t="shared" si="1"/>
        <v>0.2835</v>
      </c>
      <c r="R37" s="9">
        <f t="shared" si="2"/>
        <v>1.81</v>
      </c>
      <c r="S37" s="9">
        <f t="shared" si="3"/>
        <v>0.462</v>
      </c>
      <c r="T37" s="9">
        <f t="shared" si="4"/>
        <v>0.094</v>
      </c>
      <c r="U37" s="9">
        <f t="shared" si="5"/>
        <v>0.65</v>
      </c>
      <c r="V37" s="9">
        <f t="shared" si="6"/>
        <v>0.0148</v>
      </c>
      <c r="W37" s="9">
        <f t="shared" si="7"/>
        <v>0.0383</v>
      </c>
      <c r="X37" s="9">
        <f t="shared" si="8"/>
        <v>0.00551428571428571</v>
      </c>
      <c r="Y37" s="9">
        <f t="shared" si="9"/>
        <v>0.284285714285714</v>
      </c>
      <c r="Z37" s="9">
        <f t="shared" si="10"/>
        <v>0.0322</v>
      </c>
      <c r="AA37" s="9">
        <f t="shared" si="11"/>
        <v>1.102</v>
      </c>
      <c r="AB37" s="9">
        <f t="shared" si="12"/>
        <v>0</v>
      </c>
      <c r="AC37" s="9"/>
      <c r="AD37" s="11">
        <f t="shared" si="14"/>
        <v>0.350542857142857</v>
      </c>
    </row>
    <row r="38" spans="1:30">
      <c r="A38" s="2" t="s">
        <v>102</v>
      </c>
      <c r="B38" s="2" t="s">
        <v>227</v>
      </c>
      <c r="C38" s="2">
        <v>0.262</v>
      </c>
      <c r="D38" s="2">
        <v>51.5</v>
      </c>
      <c r="E38" s="2" t="s">
        <v>31</v>
      </c>
      <c r="F38" s="2">
        <v>0.055</v>
      </c>
      <c r="G38" s="2">
        <v>0.619</v>
      </c>
      <c r="H38" s="2">
        <v>1.44</v>
      </c>
      <c r="I38" s="2">
        <v>33</v>
      </c>
      <c r="J38" s="2">
        <v>0.089</v>
      </c>
      <c r="K38" s="2">
        <v>117</v>
      </c>
      <c r="L38" s="2">
        <v>0.055</v>
      </c>
      <c r="M38" s="2">
        <v>143</v>
      </c>
      <c r="N38" s="2">
        <v>68.6</v>
      </c>
      <c r="O38" s="2">
        <v>65</v>
      </c>
      <c r="P38" s="8"/>
      <c r="Q38" s="9">
        <f t="shared" si="1"/>
        <v>0.131</v>
      </c>
      <c r="R38" s="9">
        <f t="shared" si="2"/>
        <v>0.515</v>
      </c>
      <c r="S38" s="9"/>
      <c r="T38" s="9">
        <f t="shared" si="4"/>
        <v>0.0011</v>
      </c>
      <c r="U38" s="9">
        <f t="shared" si="5"/>
        <v>0.03095</v>
      </c>
      <c r="V38" s="9">
        <f t="shared" si="6"/>
        <v>0.00144</v>
      </c>
      <c r="W38" s="9">
        <f t="shared" si="7"/>
        <v>0.033</v>
      </c>
      <c r="X38" s="9">
        <f t="shared" si="8"/>
        <v>0.00127142857142857</v>
      </c>
      <c r="Y38" s="9">
        <f t="shared" si="9"/>
        <v>0.167142857142857</v>
      </c>
      <c r="Z38" s="9">
        <f t="shared" si="10"/>
        <v>0.00183333333333333</v>
      </c>
      <c r="AA38" s="9">
        <f t="shared" si="11"/>
        <v>0.286</v>
      </c>
      <c r="AB38" s="9">
        <f t="shared" si="12"/>
        <v>0.228666666666667</v>
      </c>
      <c r="AC38" s="9">
        <f t="shared" si="13"/>
        <v>0.325</v>
      </c>
      <c r="AD38" s="11">
        <f t="shared" si="14"/>
        <v>0.12302887755102</v>
      </c>
    </row>
    <row r="39" spans="1:30">
      <c r="A39" s="2" t="s">
        <v>104</v>
      </c>
      <c r="B39" s="2" t="s">
        <v>227</v>
      </c>
      <c r="C39" s="2">
        <v>0.084</v>
      </c>
      <c r="D39" s="2">
        <v>15.6</v>
      </c>
      <c r="E39" s="2">
        <v>0.405</v>
      </c>
      <c r="F39" s="2">
        <v>0.06</v>
      </c>
      <c r="G39" s="2">
        <v>2.56</v>
      </c>
      <c r="H39" s="2">
        <v>2.15</v>
      </c>
      <c r="I39" s="2">
        <v>1.24</v>
      </c>
      <c r="J39" s="2">
        <v>0.121</v>
      </c>
      <c r="K39" s="2">
        <v>117</v>
      </c>
      <c r="L39" s="2">
        <v>0.047</v>
      </c>
      <c r="M39" s="2">
        <v>379</v>
      </c>
      <c r="N39" s="2">
        <v>2238</v>
      </c>
      <c r="O39" s="2">
        <v>5.85</v>
      </c>
      <c r="P39" s="8"/>
      <c r="Q39" s="9">
        <f t="shared" si="1"/>
        <v>0.042</v>
      </c>
      <c r="R39" s="9">
        <f t="shared" si="2"/>
        <v>0.156</v>
      </c>
      <c r="S39" s="9">
        <f t="shared" si="3"/>
        <v>0.0081</v>
      </c>
      <c r="T39" s="9">
        <f t="shared" si="4"/>
        <v>0.0012</v>
      </c>
      <c r="U39" s="9">
        <f t="shared" si="5"/>
        <v>0.128</v>
      </c>
      <c r="V39" s="9">
        <f t="shared" si="6"/>
        <v>0.00215</v>
      </c>
      <c r="W39" s="9">
        <f t="shared" si="7"/>
        <v>0.00124</v>
      </c>
      <c r="X39" s="9">
        <f t="shared" si="8"/>
        <v>0.00172857142857143</v>
      </c>
      <c r="Y39" s="9">
        <f t="shared" si="9"/>
        <v>0.167142857142857</v>
      </c>
      <c r="Z39" s="9">
        <f t="shared" si="10"/>
        <v>0.00156666666666667</v>
      </c>
      <c r="AA39" s="9">
        <f t="shared" si="11"/>
        <v>0.758</v>
      </c>
      <c r="AB39" s="9">
        <f t="shared" si="12"/>
        <v>7.46</v>
      </c>
      <c r="AC39" s="9">
        <f t="shared" si="13"/>
        <v>0.02925</v>
      </c>
      <c r="AD39" s="11">
        <f t="shared" si="14"/>
        <v>0.625455578231292</v>
      </c>
    </row>
    <row r="40" spans="1:30">
      <c r="A40" s="2" t="s">
        <v>106</v>
      </c>
      <c r="B40" s="2" t="s">
        <v>227</v>
      </c>
      <c r="C40" s="2">
        <v>1.74</v>
      </c>
      <c r="D40" s="2">
        <v>19.1</v>
      </c>
      <c r="E40" s="2">
        <v>0.496</v>
      </c>
      <c r="F40" s="2">
        <v>0.292</v>
      </c>
      <c r="G40" s="2">
        <v>7.19</v>
      </c>
      <c r="H40" s="2">
        <v>6.13</v>
      </c>
      <c r="I40" s="2">
        <v>7.01</v>
      </c>
      <c r="J40" s="2">
        <v>0.646</v>
      </c>
      <c r="K40" s="2">
        <v>147</v>
      </c>
      <c r="L40" s="2">
        <v>0.268</v>
      </c>
      <c r="M40" s="2">
        <v>401</v>
      </c>
      <c r="N40" s="2">
        <v>6.23</v>
      </c>
      <c r="O40" s="2">
        <v>6.59</v>
      </c>
      <c r="P40" s="8"/>
      <c r="Q40" s="9">
        <f t="shared" si="1"/>
        <v>0.87</v>
      </c>
      <c r="R40" s="9">
        <f t="shared" si="2"/>
        <v>0.191</v>
      </c>
      <c r="S40" s="9">
        <f t="shared" si="3"/>
        <v>0.00992</v>
      </c>
      <c r="T40" s="9">
        <f t="shared" si="4"/>
        <v>0.00584</v>
      </c>
      <c r="U40" s="9">
        <f t="shared" si="5"/>
        <v>0.3595</v>
      </c>
      <c r="V40" s="9">
        <f t="shared" si="6"/>
        <v>0.00613</v>
      </c>
      <c r="W40" s="9">
        <f t="shared" si="7"/>
        <v>0.00701</v>
      </c>
      <c r="X40" s="9">
        <f t="shared" si="8"/>
        <v>0.00922857142857143</v>
      </c>
      <c r="Y40" s="9">
        <f t="shared" si="9"/>
        <v>0.21</v>
      </c>
      <c r="Z40" s="9">
        <f t="shared" si="10"/>
        <v>0.00893333333333333</v>
      </c>
      <c r="AA40" s="9">
        <f t="shared" si="11"/>
        <v>0.802</v>
      </c>
      <c r="AB40" s="9">
        <f t="shared" si="12"/>
        <v>0.0207666666666667</v>
      </c>
      <c r="AC40" s="9">
        <f t="shared" si="13"/>
        <v>0.03295</v>
      </c>
      <c r="AD40" s="11">
        <f t="shared" si="14"/>
        <v>0.180948469387755</v>
      </c>
    </row>
    <row r="41" spans="1:30">
      <c r="A41" s="2" t="s">
        <v>108</v>
      </c>
      <c r="B41" s="2">
        <v>3.15</v>
      </c>
      <c r="C41" s="2">
        <v>0.113</v>
      </c>
      <c r="D41" s="2">
        <v>108</v>
      </c>
      <c r="E41" s="2">
        <v>1.52</v>
      </c>
      <c r="F41" s="2">
        <v>0.175</v>
      </c>
      <c r="G41" s="2">
        <v>1.43</v>
      </c>
      <c r="H41" s="2">
        <v>2.12</v>
      </c>
      <c r="I41" s="2">
        <v>8.56</v>
      </c>
      <c r="J41" s="2">
        <v>1.92</v>
      </c>
      <c r="K41" s="2">
        <v>52.1</v>
      </c>
      <c r="L41" s="2">
        <v>1.53</v>
      </c>
      <c r="M41" s="2">
        <v>3943</v>
      </c>
      <c r="N41" s="2">
        <v>13.5</v>
      </c>
      <c r="O41" s="2">
        <v>5</v>
      </c>
      <c r="P41" s="8">
        <f t="shared" si="0"/>
        <v>0.315</v>
      </c>
      <c r="Q41" s="9">
        <f t="shared" si="1"/>
        <v>0.0565</v>
      </c>
      <c r="R41" s="9">
        <f t="shared" si="2"/>
        <v>1.08</v>
      </c>
      <c r="S41" s="9">
        <f t="shared" si="3"/>
        <v>0.0304</v>
      </c>
      <c r="T41" s="9">
        <f t="shared" si="4"/>
        <v>0.0035</v>
      </c>
      <c r="U41" s="9">
        <f t="shared" si="5"/>
        <v>0.0715</v>
      </c>
      <c r="V41" s="9">
        <f t="shared" si="6"/>
        <v>0.00212</v>
      </c>
      <c r="W41" s="9">
        <f t="shared" si="7"/>
        <v>0.00856</v>
      </c>
      <c r="X41" s="9">
        <f t="shared" si="8"/>
        <v>0.0274285714285714</v>
      </c>
      <c r="Y41" s="9">
        <f t="shared" si="9"/>
        <v>0.0744285714285714</v>
      </c>
      <c r="Z41" s="9">
        <f t="shared" si="10"/>
        <v>0.051</v>
      </c>
      <c r="AA41" s="9">
        <f t="shared" si="11"/>
        <v>7.886</v>
      </c>
      <c r="AB41" s="9">
        <f t="shared" si="12"/>
        <v>0.045</v>
      </c>
      <c r="AC41" s="9">
        <f t="shared" si="13"/>
        <v>0.025</v>
      </c>
      <c r="AD41" s="11">
        <f t="shared" si="14"/>
        <v>0.691174081632653</v>
      </c>
    </row>
    <row r="42" spans="1:30">
      <c r="A42" s="2" t="s">
        <v>110</v>
      </c>
      <c r="B42" s="2" t="s">
        <v>227</v>
      </c>
      <c r="C42" s="2">
        <v>0.223</v>
      </c>
      <c r="D42" s="2">
        <v>18.1</v>
      </c>
      <c r="E42" s="2">
        <v>1.34</v>
      </c>
      <c r="F42" s="2">
        <v>0.066</v>
      </c>
      <c r="G42" s="2">
        <v>0.797</v>
      </c>
      <c r="H42" s="2">
        <v>3.14</v>
      </c>
      <c r="I42" s="2">
        <v>4.51</v>
      </c>
      <c r="J42" s="2">
        <v>0.813</v>
      </c>
      <c r="K42" s="2">
        <v>41.6</v>
      </c>
      <c r="L42" s="2">
        <v>0.587</v>
      </c>
      <c r="M42" s="2">
        <v>326</v>
      </c>
      <c r="N42" s="2">
        <v>14.5</v>
      </c>
      <c r="O42" s="2">
        <v>4.93</v>
      </c>
      <c r="P42" s="8"/>
      <c r="Q42" s="9">
        <f t="shared" si="1"/>
        <v>0.1115</v>
      </c>
      <c r="R42" s="9">
        <f t="shared" si="2"/>
        <v>0.181</v>
      </c>
      <c r="S42" s="9">
        <f t="shared" si="3"/>
        <v>0.0268</v>
      </c>
      <c r="T42" s="9">
        <f t="shared" si="4"/>
        <v>0.00132</v>
      </c>
      <c r="U42" s="9">
        <f t="shared" si="5"/>
        <v>0.03985</v>
      </c>
      <c r="V42" s="9">
        <f t="shared" si="6"/>
        <v>0.00314</v>
      </c>
      <c r="W42" s="9">
        <f t="shared" si="7"/>
        <v>0.00451</v>
      </c>
      <c r="X42" s="9">
        <f t="shared" si="8"/>
        <v>0.0116142857142857</v>
      </c>
      <c r="Y42" s="9">
        <f t="shared" si="9"/>
        <v>0.0594285714285714</v>
      </c>
      <c r="Z42" s="9">
        <f t="shared" si="10"/>
        <v>0.0195666666666667</v>
      </c>
      <c r="AA42" s="9">
        <f t="shared" si="11"/>
        <v>0.652</v>
      </c>
      <c r="AB42" s="9">
        <f t="shared" si="12"/>
        <v>0.0483333333333333</v>
      </c>
      <c r="AC42" s="9">
        <f t="shared" si="13"/>
        <v>0.02465</v>
      </c>
      <c r="AD42" s="11">
        <f t="shared" si="14"/>
        <v>0.0845509183673469</v>
      </c>
    </row>
    <row r="43" spans="1:30">
      <c r="A43" s="2" t="s">
        <v>113</v>
      </c>
      <c r="B43" s="2">
        <v>3.5</v>
      </c>
      <c r="C43" s="2">
        <v>0.083</v>
      </c>
      <c r="D43" s="2">
        <v>0.854</v>
      </c>
      <c r="E43" s="2">
        <v>0.266</v>
      </c>
      <c r="F43" s="2">
        <v>0.026</v>
      </c>
      <c r="G43" s="2">
        <v>0.359</v>
      </c>
      <c r="H43" s="2">
        <v>1.13</v>
      </c>
      <c r="I43" s="2">
        <v>2.33</v>
      </c>
      <c r="J43" s="2">
        <v>52.5</v>
      </c>
      <c r="K43" s="2">
        <v>0.581</v>
      </c>
      <c r="L43" s="2">
        <v>0.036</v>
      </c>
      <c r="M43" s="2">
        <v>134</v>
      </c>
      <c r="N43" s="2">
        <v>2.17</v>
      </c>
      <c r="O43" s="2">
        <v>45.6</v>
      </c>
      <c r="P43" s="8">
        <f t="shared" si="0"/>
        <v>0.35</v>
      </c>
      <c r="Q43" s="9">
        <f t="shared" si="1"/>
        <v>0.0415</v>
      </c>
      <c r="R43" s="9">
        <f t="shared" si="2"/>
        <v>0.00854</v>
      </c>
      <c r="S43" s="9">
        <f t="shared" si="3"/>
        <v>0.00532</v>
      </c>
      <c r="T43" s="9">
        <f t="shared" si="4"/>
        <v>0.00052</v>
      </c>
      <c r="U43" s="9">
        <f t="shared" si="5"/>
        <v>0.01795</v>
      </c>
      <c r="V43" s="9">
        <f t="shared" si="6"/>
        <v>0.00113</v>
      </c>
      <c r="W43" s="9">
        <f t="shared" si="7"/>
        <v>0.00233</v>
      </c>
      <c r="X43" s="9">
        <f t="shared" si="8"/>
        <v>0.75</v>
      </c>
      <c r="Y43" s="9">
        <f t="shared" si="9"/>
        <v>0.00083</v>
      </c>
      <c r="Z43" s="9">
        <f t="shared" si="10"/>
        <v>0.0012</v>
      </c>
      <c r="AA43" s="9">
        <f t="shared" si="11"/>
        <v>0.268</v>
      </c>
      <c r="AB43" s="9">
        <f t="shared" si="12"/>
        <v>0.00723333333333333</v>
      </c>
      <c r="AC43" s="9">
        <f t="shared" si="13"/>
        <v>0.228</v>
      </c>
      <c r="AD43" s="11">
        <f t="shared" si="14"/>
        <v>0.120182380952381</v>
      </c>
    </row>
    <row r="44" spans="1:30">
      <c r="A44" s="2" t="s">
        <v>115</v>
      </c>
      <c r="B44" s="2">
        <v>17.9</v>
      </c>
      <c r="C44" s="2">
        <v>0.075</v>
      </c>
      <c r="D44" s="2">
        <v>1.65</v>
      </c>
      <c r="E44" s="2">
        <v>1.19</v>
      </c>
      <c r="F44" s="2">
        <v>0.02</v>
      </c>
      <c r="G44" s="2">
        <v>0.295</v>
      </c>
      <c r="H44" s="2">
        <v>0.278</v>
      </c>
      <c r="I44" s="2">
        <v>2.08</v>
      </c>
      <c r="J44" s="2">
        <v>29</v>
      </c>
      <c r="K44" s="2">
        <v>1.43</v>
      </c>
      <c r="L44" s="2">
        <v>0.01</v>
      </c>
      <c r="M44" s="2">
        <v>766</v>
      </c>
      <c r="N44" s="2">
        <v>59.7</v>
      </c>
      <c r="O44" s="2">
        <v>46.6</v>
      </c>
      <c r="P44" s="8">
        <f t="shared" si="0"/>
        <v>1.79</v>
      </c>
      <c r="Q44" s="9">
        <f t="shared" si="1"/>
        <v>0.0375</v>
      </c>
      <c r="R44" s="9">
        <f t="shared" si="2"/>
        <v>0.0165</v>
      </c>
      <c r="S44" s="9">
        <f t="shared" si="3"/>
        <v>0.0238</v>
      </c>
      <c r="T44" s="9">
        <f t="shared" si="4"/>
        <v>0.0004</v>
      </c>
      <c r="U44" s="9">
        <f t="shared" si="5"/>
        <v>0.01475</v>
      </c>
      <c r="V44" s="9">
        <f t="shared" si="6"/>
        <v>0.000278</v>
      </c>
      <c r="W44" s="9">
        <f t="shared" si="7"/>
        <v>0.00208</v>
      </c>
      <c r="X44" s="9">
        <f t="shared" si="8"/>
        <v>0.414285714285714</v>
      </c>
      <c r="Y44" s="9">
        <f t="shared" si="9"/>
        <v>0.00204285714285714</v>
      </c>
      <c r="Z44" s="9">
        <f t="shared" si="10"/>
        <v>0.000333333333333333</v>
      </c>
      <c r="AA44" s="9">
        <f t="shared" si="11"/>
        <v>1.532</v>
      </c>
      <c r="AB44" s="9">
        <f t="shared" si="12"/>
        <v>0.199</v>
      </c>
      <c r="AC44" s="9">
        <f t="shared" si="13"/>
        <v>0.233</v>
      </c>
      <c r="AD44" s="11">
        <f t="shared" si="14"/>
        <v>0.304712136054422</v>
      </c>
    </row>
    <row r="45" spans="1:30">
      <c r="A45" s="2" t="s">
        <v>118</v>
      </c>
      <c r="B45" s="2">
        <v>132</v>
      </c>
      <c r="C45" s="2">
        <v>0.144</v>
      </c>
      <c r="D45" s="2">
        <v>1754</v>
      </c>
      <c r="E45" s="2">
        <v>5.27</v>
      </c>
      <c r="F45" s="2">
        <v>12.1</v>
      </c>
      <c r="G45" s="2">
        <v>55.9</v>
      </c>
      <c r="H45" s="2">
        <v>5.13</v>
      </c>
      <c r="I45" s="2">
        <v>12</v>
      </c>
      <c r="J45" s="2">
        <v>1.04</v>
      </c>
      <c r="K45" s="2">
        <v>57.1</v>
      </c>
      <c r="L45" s="2">
        <v>0.963</v>
      </c>
      <c r="M45" s="2">
        <v>6366</v>
      </c>
      <c r="N45" s="2">
        <v>7867</v>
      </c>
      <c r="O45" s="2">
        <v>380</v>
      </c>
      <c r="P45" s="8">
        <f t="shared" si="0"/>
        <v>13.2</v>
      </c>
      <c r="Q45" s="9">
        <f t="shared" si="1"/>
        <v>0.072</v>
      </c>
      <c r="R45" s="9">
        <f t="shared" si="2"/>
        <v>17.54</v>
      </c>
      <c r="S45" s="9">
        <f t="shared" si="3"/>
        <v>0.1054</v>
      </c>
      <c r="T45" s="9">
        <f t="shared" si="4"/>
        <v>0.242</v>
      </c>
      <c r="U45" s="9">
        <f t="shared" si="5"/>
        <v>2.795</v>
      </c>
      <c r="V45" s="9">
        <f t="shared" si="6"/>
        <v>0.00513</v>
      </c>
      <c r="W45" s="9">
        <f t="shared" si="7"/>
        <v>0.012</v>
      </c>
      <c r="X45" s="9">
        <f t="shared" si="8"/>
        <v>0.0148571428571429</v>
      </c>
      <c r="Y45" s="9">
        <f t="shared" si="9"/>
        <v>0.0815714285714286</v>
      </c>
      <c r="Z45" s="9">
        <f t="shared" si="10"/>
        <v>0.0321</v>
      </c>
      <c r="AA45" s="9">
        <f t="shared" si="11"/>
        <v>12.732</v>
      </c>
      <c r="AB45" s="9">
        <f t="shared" si="12"/>
        <v>26.2233333333333</v>
      </c>
      <c r="AC45" s="9">
        <f t="shared" si="13"/>
        <v>1.9</v>
      </c>
      <c r="AD45" s="10">
        <f t="shared" si="14"/>
        <v>5.35395656462585</v>
      </c>
    </row>
    <row r="46" spans="1:30">
      <c r="A46" s="2" t="s">
        <v>121</v>
      </c>
      <c r="B46" s="2">
        <v>59</v>
      </c>
      <c r="C46" s="2">
        <v>0.372</v>
      </c>
      <c r="D46" s="2">
        <v>120</v>
      </c>
      <c r="E46" s="2">
        <v>1.98</v>
      </c>
      <c r="F46" s="2">
        <v>0.723</v>
      </c>
      <c r="G46" s="2">
        <v>14.4</v>
      </c>
      <c r="H46" s="2">
        <v>1.13</v>
      </c>
      <c r="I46" s="2">
        <v>1.94</v>
      </c>
      <c r="J46" s="2">
        <v>0.345</v>
      </c>
      <c r="K46" s="2">
        <v>69.2</v>
      </c>
      <c r="L46" s="2">
        <v>0.391</v>
      </c>
      <c r="M46" s="2">
        <v>1213</v>
      </c>
      <c r="N46" s="2">
        <v>300</v>
      </c>
      <c r="O46" s="2">
        <v>4.37</v>
      </c>
      <c r="P46" s="8">
        <f t="shared" si="0"/>
        <v>5.9</v>
      </c>
      <c r="Q46" s="9">
        <f t="shared" si="1"/>
        <v>0.186</v>
      </c>
      <c r="R46" s="9">
        <f t="shared" si="2"/>
        <v>1.2</v>
      </c>
      <c r="S46" s="9">
        <f t="shared" si="3"/>
        <v>0.0396</v>
      </c>
      <c r="T46" s="9">
        <f t="shared" si="4"/>
        <v>0.01446</v>
      </c>
      <c r="U46" s="9">
        <f t="shared" si="5"/>
        <v>0.72</v>
      </c>
      <c r="V46" s="9">
        <f t="shared" si="6"/>
        <v>0.00113</v>
      </c>
      <c r="W46" s="9">
        <f t="shared" si="7"/>
        <v>0.00194</v>
      </c>
      <c r="X46" s="9">
        <f t="shared" si="8"/>
        <v>0.00492857142857143</v>
      </c>
      <c r="Y46" s="9">
        <f t="shared" si="9"/>
        <v>0.0988571428571429</v>
      </c>
      <c r="Z46" s="9">
        <f t="shared" si="10"/>
        <v>0.0130333333333333</v>
      </c>
      <c r="AA46" s="9">
        <f t="shared" si="11"/>
        <v>2.426</v>
      </c>
      <c r="AB46" s="9">
        <f t="shared" si="12"/>
        <v>1</v>
      </c>
      <c r="AC46" s="9">
        <f t="shared" si="13"/>
        <v>0.02185</v>
      </c>
      <c r="AD46" s="11">
        <f t="shared" si="14"/>
        <v>0.830557074829932</v>
      </c>
    </row>
    <row r="47" spans="1:30">
      <c r="A47" s="2" t="s">
        <v>124</v>
      </c>
      <c r="B47" s="2">
        <v>68</v>
      </c>
      <c r="C47" s="2">
        <v>0.649</v>
      </c>
      <c r="D47" s="2">
        <v>12.5</v>
      </c>
      <c r="E47" s="2">
        <v>1.3</v>
      </c>
      <c r="F47" s="2">
        <v>0.326</v>
      </c>
      <c r="G47" s="2">
        <v>6.16</v>
      </c>
      <c r="H47" s="2">
        <v>1.57</v>
      </c>
      <c r="I47" s="2">
        <v>3.67</v>
      </c>
      <c r="J47" s="2">
        <v>0.216</v>
      </c>
      <c r="K47" s="2">
        <v>45.2</v>
      </c>
      <c r="L47" s="2">
        <v>0.248</v>
      </c>
      <c r="M47" s="2">
        <v>1122</v>
      </c>
      <c r="N47" s="2">
        <v>367</v>
      </c>
      <c r="O47" s="2">
        <v>14.8</v>
      </c>
      <c r="P47" s="8">
        <f t="shared" si="0"/>
        <v>6.8</v>
      </c>
      <c r="Q47" s="9">
        <f t="shared" si="1"/>
        <v>0.3245</v>
      </c>
      <c r="R47" s="9">
        <f t="shared" si="2"/>
        <v>0.125</v>
      </c>
      <c r="S47" s="9">
        <f t="shared" si="3"/>
        <v>0.026</v>
      </c>
      <c r="T47" s="9">
        <f t="shared" si="4"/>
        <v>0.00652</v>
      </c>
      <c r="U47" s="9">
        <f t="shared" si="5"/>
        <v>0.308</v>
      </c>
      <c r="V47" s="9">
        <f t="shared" si="6"/>
        <v>0.00157</v>
      </c>
      <c r="W47" s="9">
        <f t="shared" si="7"/>
        <v>0.00367</v>
      </c>
      <c r="X47" s="9">
        <f t="shared" si="8"/>
        <v>0.00308571428571429</v>
      </c>
      <c r="Y47" s="9">
        <f t="shared" si="9"/>
        <v>0.0645714285714286</v>
      </c>
      <c r="Z47" s="9">
        <f t="shared" si="10"/>
        <v>0.00826666666666667</v>
      </c>
      <c r="AA47" s="9">
        <f t="shared" si="11"/>
        <v>2.244</v>
      </c>
      <c r="AB47" s="9">
        <f t="shared" si="12"/>
        <v>1.22333333333333</v>
      </c>
      <c r="AC47" s="9">
        <f t="shared" si="13"/>
        <v>0.074</v>
      </c>
      <c r="AD47" s="11">
        <f t="shared" si="14"/>
        <v>0.800894081632653</v>
      </c>
    </row>
    <row r="48" spans="1:30">
      <c r="A48" s="2" t="s">
        <v>126</v>
      </c>
      <c r="B48" s="2">
        <v>120</v>
      </c>
      <c r="C48" s="2">
        <v>0.492</v>
      </c>
      <c r="D48" s="2">
        <v>27.4</v>
      </c>
      <c r="E48" s="2">
        <v>1.94</v>
      </c>
      <c r="F48" s="2">
        <v>0.206</v>
      </c>
      <c r="G48" s="2">
        <v>3.46</v>
      </c>
      <c r="H48" s="2">
        <v>1.64</v>
      </c>
      <c r="I48" s="2">
        <v>3.41</v>
      </c>
      <c r="J48" s="2">
        <v>0.082</v>
      </c>
      <c r="K48" s="2">
        <v>47.4</v>
      </c>
      <c r="L48" s="2">
        <v>0.017</v>
      </c>
      <c r="M48" s="2">
        <v>4171</v>
      </c>
      <c r="N48" s="2">
        <v>381</v>
      </c>
      <c r="O48" s="2">
        <v>6.44</v>
      </c>
      <c r="P48" s="8">
        <f t="shared" si="0"/>
        <v>12</v>
      </c>
      <c r="Q48" s="9">
        <f t="shared" si="1"/>
        <v>0.246</v>
      </c>
      <c r="R48" s="9">
        <f t="shared" si="2"/>
        <v>0.274</v>
      </c>
      <c r="S48" s="9">
        <f t="shared" si="3"/>
        <v>0.0388</v>
      </c>
      <c r="T48" s="9">
        <f t="shared" si="4"/>
        <v>0.00412</v>
      </c>
      <c r="U48" s="9">
        <f t="shared" si="5"/>
        <v>0.173</v>
      </c>
      <c r="V48" s="9">
        <f t="shared" si="6"/>
        <v>0.00164</v>
      </c>
      <c r="W48" s="9">
        <f t="shared" si="7"/>
        <v>0.00341</v>
      </c>
      <c r="X48" s="9">
        <f t="shared" si="8"/>
        <v>0.00117142857142857</v>
      </c>
      <c r="Y48" s="9">
        <f t="shared" si="9"/>
        <v>0.0677142857142857</v>
      </c>
      <c r="Z48" s="9">
        <f t="shared" si="10"/>
        <v>0.000566666666666667</v>
      </c>
      <c r="AA48" s="9">
        <f t="shared" si="11"/>
        <v>8.342</v>
      </c>
      <c r="AB48" s="9">
        <f t="shared" si="12"/>
        <v>1.27</v>
      </c>
      <c r="AC48" s="9">
        <f t="shared" si="13"/>
        <v>0.0322</v>
      </c>
      <c r="AD48" s="10">
        <f t="shared" si="14"/>
        <v>1.60390159863946</v>
      </c>
    </row>
    <row r="49" spans="1:30">
      <c r="A49" s="2" t="s">
        <v>129</v>
      </c>
      <c r="B49" s="2">
        <v>226.6</v>
      </c>
      <c r="C49" s="2" t="s">
        <v>31</v>
      </c>
      <c r="D49" s="2">
        <v>1.89</v>
      </c>
      <c r="E49" s="2">
        <v>0.31</v>
      </c>
      <c r="F49" s="2">
        <v>0.24</v>
      </c>
      <c r="G49" s="2">
        <v>3.29</v>
      </c>
      <c r="H49" s="2">
        <v>0.35</v>
      </c>
      <c r="I49" s="2">
        <v>6.42</v>
      </c>
      <c r="J49" s="2">
        <v>90.92</v>
      </c>
      <c r="K49" s="2">
        <v>17.66</v>
      </c>
      <c r="L49" s="2">
        <v>2.18</v>
      </c>
      <c r="M49" s="2"/>
      <c r="N49" s="2">
        <v>716.6</v>
      </c>
      <c r="O49" s="2" t="s">
        <v>31</v>
      </c>
      <c r="P49" s="8">
        <f t="shared" si="0"/>
        <v>22.66</v>
      </c>
      <c r="Q49" s="9"/>
      <c r="R49" s="9">
        <f t="shared" si="2"/>
        <v>0.0189</v>
      </c>
      <c r="S49" s="9">
        <f t="shared" si="3"/>
        <v>0.0062</v>
      </c>
      <c r="T49" s="9">
        <f t="shared" si="4"/>
        <v>0.0048</v>
      </c>
      <c r="U49" s="9">
        <f t="shared" si="5"/>
        <v>0.1645</v>
      </c>
      <c r="V49" s="9">
        <f t="shared" si="6"/>
        <v>0.00035</v>
      </c>
      <c r="W49" s="9">
        <f t="shared" si="7"/>
        <v>0.00642</v>
      </c>
      <c r="X49" s="9">
        <f t="shared" si="8"/>
        <v>1.29885714285714</v>
      </c>
      <c r="Y49" s="9">
        <f t="shared" si="9"/>
        <v>0.0252285714285714</v>
      </c>
      <c r="Z49" s="9">
        <f t="shared" si="10"/>
        <v>0.0726666666666667</v>
      </c>
      <c r="AA49" s="9">
        <f t="shared" si="11"/>
        <v>0</v>
      </c>
      <c r="AB49" s="9">
        <f t="shared" si="12"/>
        <v>2.38866666666667</v>
      </c>
      <c r="AC49" s="9"/>
      <c r="AD49" s="10">
        <f t="shared" si="14"/>
        <v>1.90332778911565</v>
      </c>
    </row>
    <row r="50" spans="1:30">
      <c r="A50" s="2" t="s">
        <v>132</v>
      </c>
      <c r="B50" s="2">
        <v>29.6</v>
      </c>
      <c r="C50" s="2">
        <v>0.022</v>
      </c>
      <c r="D50" s="2">
        <v>4.38</v>
      </c>
      <c r="E50" s="2">
        <v>2.37</v>
      </c>
      <c r="F50" s="2">
        <v>0.727</v>
      </c>
      <c r="G50" s="2">
        <v>19.1</v>
      </c>
      <c r="H50" s="2">
        <v>3.56</v>
      </c>
      <c r="I50" s="2">
        <v>4.75</v>
      </c>
      <c r="J50" s="2">
        <v>11.6</v>
      </c>
      <c r="K50" s="2">
        <v>35.3</v>
      </c>
      <c r="L50" s="2">
        <v>2.47</v>
      </c>
      <c r="M50" s="2">
        <v>1309</v>
      </c>
      <c r="N50" s="2">
        <v>19.8</v>
      </c>
      <c r="O50" s="2">
        <v>4.42</v>
      </c>
      <c r="P50" s="8">
        <f t="shared" si="0"/>
        <v>2.96</v>
      </c>
      <c r="Q50" s="9">
        <f t="shared" si="1"/>
        <v>0.011</v>
      </c>
      <c r="R50" s="9">
        <f t="shared" si="2"/>
        <v>0.0438</v>
      </c>
      <c r="S50" s="9">
        <f t="shared" si="3"/>
        <v>0.0474</v>
      </c>
      <c r="T50" s="9">
        <f t="shared" si="4"/>
        <v>0.01454</v>
      </c>
      <c r="U50" s="9">
        <f t="shared" si="5"/>
        <v>0.955</v>
      </c>
      <c r="V50" s="9">
        <f t="shared" si="6"/>
        <v>0.00356</v>
      </c>
      <c r="W50" s="9">
        <f t="shared" si="7"/>
        <v>0.00475</v>
      </c>
      <c r="X50" s="9">
        <f t="shared" si="8"/>
        <v>0.165714285714286</v>
      </c>
      <c r="Y50" s="9">
        <f t="shared" si="9"/>
        <v>0.0504285714285714</v>
      </c>
      <c r="Z50" s="9">
        <f t="shared" si="10"/>
        <v>0.0823333333333333</v>
      </c>
      <c r="AA50" s="9">
        <f t="shared" si="11"/>
        <v>2.618</v>
      </c>
      <c r="AB50" s="9">
        <f t="shared" si="12"/>
        <v>0.066</v>
      </c>
      <c r="AC50" s="9">
        <f t="shared" si="13"/>
        <v>0.0221</v>
      </c>
      <c r="AD50" s="11">
        <f t="shared" si="14"/>
        <v>0.503187585034014</v>
      </c>
    </row>
    <row r="51" spans="1:30">
      <c r="A51" s="2" t="s">
        <v>134</v>
      </c>
      <c r="B51" s="2">
        <v>1.11</v>
      </c>
      <c r="C51" s="2">
        <v>0.022</v>
      </c>
      <c r="D51" s="2">
        <v>1.16</v>
      </c>
      <c r="E51" s="2">
        <v>1.65</v>
      </c>
      <c r="F51" s="2">
        <v>0.008</v>
      </c>
      <c r="G51" s="2">
        <v>0.2</v>
      </c>
      <c r="H51" s="2">
        <v>0.3</v>
      </c>
      <c r="I51" s="2">
        <v>0.853</v>
      </c>
      <c r="J51" s="2">
        <v>7.55</v>
      </c>
      <c r="K51" s="2">
        <v>1.15</v>
      </c>
      <c r="L51" s="2">
        <v>0.003</v>
      </c>
      <c r="M51" s="2">
        <v>129</v>
      </c>
      <c r="N51" s="2">
        <v>16.8</v>
      </c>
      <c r="O51" s="2">
        <v>18.1</v>
      </c>
      <c r="P51" s="8">
        <f t="shared" si="0"/>
        <v>0.111</v>
      </c>
      <c r="Q51" s="9">
        <f t="shared" si="1"/>
        <v>0.011</v>
      </c>
      <c r="R51" s="9">
        <f t="shared" si="2"/>
        <v>0.0116</v>
      </c>
      <c r="S51" s="9">
        <f t="shared" si="3"/>
        <v>0.033</v>
      </c>
      <c r="T51" s="9">
        <f t="shared" si="4"/>
        <v>0.00016</v>
      </c>
      <c r="U51" s="9">
        <f t="shared" si="5"/>
        <v>0.01</v>
      </c>
      <c r="V51" s="9">
        <f t="shared" si="6"/>
        <v>0.0003</v>
      </c>
      <c r="W51" s="9">
        <f t="shared" si="7"/>
        <v>0.000853</v>
      </c>
      <c r="X51" s="9">
        <f t="shared" si="8"/>
        <v>0.107857142857143</v>
      </c>
      <c r="Y51" s="9">
        <f t="shared" si="9"/>
        <v>0.00164285714285714</v>
      </c>
      <c r="Z51" s="9">
        <f t="shared" si="10"/>
        <v>0.0001</v>
      </c>
      <c r="AA51" s="9">
        <f t="shared" si="11"/>
        <v>0.258</v>
      </c>
      <c r="AB51" s="9">
        <f t="shared" si="12"/>
        <v>0.056</v>
      </c>
      <c r="AC51" s="9">
        <f t="shared" si="13"/>
        <v>0.0905</v>
      </c>
      <c r="AD51" s="11">
        <f t="shared" si="14"/>
        <v>0.0494295</v>
      </c>
    </row>
    <row r="52" spans="1:30">
      <c r="A52" s="2" t="s">
        <v>136</v>
      </c>
      <c r="B52" s="2">
        <v>11.9</v>
      </c>
      <c r="C52" s="2">
        <v>0.055</v>
      </c>
      <c r="D52" s="2">
        <v>0.381</v>
      </c>
      <c r="E52" s="2">
        <v>0.592</v>
      </c>
      <c r="F52" s="2">
        <v>0.093</v>
      </c>
      <c r="G52" s="2">
        <v>2.24</v>
      </c>
      <c r="H52" s="2">
        <v>1.31</v>
      </c>
      <c r="I52" s="2">
        <v>4.43</v>
      </c>
      <c r="J52" s="2">
        <v>1.05</v>
      </c>
      <c r="K52" s="2">
        <v>30.8</v>
      </c>
      <c r="L52" s="2">
        <v>0.817</v>
      </c>
      <c r="M52" s="2">
        <v>64.2</v>
      </c>
      <c r="N52" s="2">
        <v>8.25</v>
      </c>
      <c r="O52" s="2">
        <v>14.5</v>
      </c>
      <c r="P52" s="8">
        <f t="shared" si="0"/>
        <v>1.19</v>
      </c>
      <c r="Q52" s="9">
        <f t="shared" si="1"/>
        <v>0.0275</v>
      </c>
      <c r="R52" s="9">
        <f t="shared" si="2"/>
        <v>0.00381</v>
      </c>
      <c r="S52" s="9">
        <f t="shared" si="3"/>
        <v>0.01184</v>
      </c>
      <c r="T52" s="9">
        <f t="shared" si="4"/>
        <v>0.00186</v>
      </c>
      <c r="U52" s="9">
        <f t="shared" si="5"/>
        <v>0.112</v>
      </c>
      <c r="V52" s="9">
        <f t="shared" si="6"/>
        <v>0.00131</v>
      </c>
      <c r="W52" s="9">
        <f t="shared" si="7"/>
        <v>0.00443</v>
      </c>
      <c r="X52" s="9">
        <f t="shared" si="8"/>
        <v>0.015</v>
      </c>
      <c r="Y52" s="9">
        <f t="shared" si="9"/>
        <v>0.044</v>
      </c>
      <c r="Z52" s="9">
        <f t="shared" si="10"/>
        <v>0.0272333333333333</v>
      </c>
      <c r="AA52" s="9">
        <f t="shared" si="11"/>
        <v>0.1284</v>
      </c>
      <c r="AB52" s="9">
        <f t="shared" si="12"/>
        <v>0.0275</v>
      </c>
      <c r="AC52" s="9">
        <f t="shared" si="13"/>
        <v>0.0725</v>
      </c>
      <c r="AD52" s="11">
        <f t="shared" si="14"/>
        <v>0.11909880952381</v>
      </c>
    </row>
    <row r="53" spans="1:30">
      <c r="A53" s="2" t="s">
        <v>139</v>
      </c>
      <c r="B53" s="2">
        <v>75.9</v>
      </c>
      <c r="C53" s="2">
        <v>0.143</v>
      </c>
      <c r="D53" s="2">
        <v>4.81</v>
      </c>
      <c r="E53" s="2">
        <v>1.84</v>
      </c>
      <c r="F53" s="2">
        <v>0.373</v>
      </c>
      <c r="G53" s="2">
        <v>7.63</v>
      </c>
      <c r="H53" s="2">
        <v>2.07</v>
      </c>
      <c r="I53" s="2">
        <v>3.19</v>
      </c>
      <c r="J53" s="2">
        <v>0.36</v>
      </c>
      <c r="K53" s="2">
        <v>60.2</v>
      </c>
      <c r="L53" s="2">
        <v>0.3</v>
      </c>
      <c r="M53" s="2">
        <v>648</v>
      </c>
      <c r="N53" s="2">
        <v>550</v>
      </c>
      <c r="O53" s="2">
        <v>39.2</v>
      </c>
      <c r="P53" s="8">
        <f t="shared" si="0"/>
        <v>7.59</v>
      </c>
      <c r="Q53" s="9">
        <f t="shared" si="1"/>
        <v>0.0715</v>
      </c>
      <c r="R53" s="9">
        <f t="shared" si="2"/>
        <v>0.0481</v>
      </c>
      <c r="S53" s="9">
        <f t="shared" si="3"/>
        <v>0.0368</v>
      </c>
      <c r="T53" s="9">
        <f t="shared" si="4"/>
        <v>0.00746</v>
      </c>
      <c r="U53" s="9">
        <f t="shared" si="5"/>
        <v>0.3815</v>
      </c>
      <c r="V53" s="9">
        <f t="shared" si="6"/>
        <v>0.00207</v>
      </c>
      <c r="W53" s="9">
        <f t="shared" si="7"/>
        <v>0.00319</v>
      </c>
      <c r="X53" s="9">
        <f t="shared" si="8"/>
        <v>0.00514285714285714</v>
      </c>
      <c r="Y53" s="9">
        <f t="shared" si="9"/>
        <v>0.086</v>
      </c>
      <c r="Z53" s="9">
        <f t="shared" si="10"/>
        <v>0.01</v>
      </c>
      <c r="AA53" s="9">
        <f t="shared" si="11"/>
        <v>1.296</v>
      </c>
      <c r="AB53" s="9">
        <f t="shared" si="12"/>
        <v>1.83333333333333</v>
      </c>
      <c r="AC53" s="9">
        <f t="shared" si="13"/>
        <v>0.196</v>
      </c>
      <c r="AD53" s="11">
        <f t="shared" si="14"/>
        <v>0.826221156462585</v>
      </c>
    </row>
    <row r="54" spans="1:30">
      <c r="A54" s="2" t="s">
        <v>142</v>
      </c>
      <c r="B54" s="2">
        <v>530</v>
      </c>
      <c r="C54" s="2">
        <v>2.65</v>
      </c>
      <c r="D54" s="2">
        <v>59.2</v>
      </c>
      <c r="E54" s="2">
        <v>2.65</v>
      </c>
      <c r="F54" s="2">
        <v>0.813</v>
      </c>
      <c r="G54" s="2">
        <v>19</v>
      </c>
      <c r="H54" s="2">
        <v>5.62</v>
      </c>
      <c r="I54" s="2">
        <v>5.61</v>
      </c>
      <c r="J54" s="2">
        <v>0.502</v>
      </c>
      <c r="K54" s="2">
        <v>40.8</v>
      </c>
      <c r="L54" s="2">
        <v>0.243</v>
      </c>
      <c r="M54" s="2">
        <v>3639</v>
      </c>
      <c r="N54" s="2">
        <v>1567</v>
      </c>
      <c r="O54" s="2">
        <v>19.1</v>
      </c>
      <c r="P54" s="8">
        <f t="shared" si="0"/>
        <v>53</v>
      </c>
      <c r="Q54" s="9">
        <f t="shared" si="1"/>
        <v>1.325</v>
      </c>
      <c r="R54" s="9">
        <f t="shared" si="2"/>
        <v>0.592</v>
      </c>
      <c r="S54" s="9">
        <f t="shared" si="3"/>
        <v>0.053</v>
      </c>
      <c r="T54" s="9">
        <f t="shared" si="4"/>
        <v>0.01626</v>
      </c>
      <c r="U54" s="9">
        <f t="shared" si="5"/>
        <v>0.95</v>
      </c>
      <c r="V54" s="9">
        <f t="shared" si="6"/>
        <v>0.00562</v>
      </c>
      <c r="W54" s="9">
        <f t="shared" si="7"/>
        <v>0.00561</v>
      </c>
      <c r="X54" s="9">
        <f t="shared" si="8"/>
        <v>0.00717142857142857</v>
      </c>
      <c r="Y54" s="9">
        <f t="shared" si="9"/>
        <v>0.0582857142857143</v>
      </c>
      <c r="Z54" s="9">
        <f t="shared" si="10"/>
        <v>0.0081</v>
      </c>
      <c r="AA54" s="9">
        <f t="shared" si="11"/>
        <v>7.278</v>
      </c>
      <c r="AB54" s="9">
        <f t="shared" si="12"/>
        <v>5.22333333333333</v>
      </c>
      <c r="AC54" s="9">
        <f t="shared" si="13"/>
        <v>0.0955</v>
      </c>
      <c r="AD54" s="10">
        <f t="shared" si="14"/>
        <v>4.90127717687075</v>
      </c>
    </row>
    <row r="55" spans="1:30">
      <c r="A55" s="2" t="s">
        <v>145</v>
      </c>
      <c r="B55" s="2">
        <v>4.81</v>
      </c>
      <c r="C55" s="2">
        <v>0.036</v>
      </c>
      <c r="D55" s="2">
        <v>0.197</v>
      </c>
      <c r="E55" s="2">
        <v>1.61</v>
      </c>
      <c r="F55" s="2">
        <v>0.137</v>
      </c>
      <c r="G55" s="2">
        <v>3.73</v>
      </c>
      <c r="H55" s="2">
        <v>0.642</v>
      </c>
      <c r="I55" s="2">
        <v>1.24</v>
      </c>
      <c r="J55" s="2">
        <v>1.27</v>
      </c>
      <c r="K55" s="2">
        <v>101</v>
      </c>
      <c r="L55" s="2">
        <v>0.524</v>
      </c>
      <c r="M55" s="2">
        <v>11.1</v>
      </c>
      <c r="N55" s="2">
        <v>21.4</v>
      </c>
      <c r="O55" s="2">
        <v>3.42</v>
      </c>
      <c r="P55" s="8">
        <f t="shared" si="0"/>
        <v>0.481</v>
      </c>
      <c r="Q55" s="9">
        <f t="shared" si="1"/>
        <v>0.018</v>
      </c>
      <c r="R55" s="9">
        <f t="shared" si="2"/>
        <v>0.00197</v>
      </c>
      <c r="S55" s="9">
        <f t="shared" si="3"/>
        <v>0.0322</v>
      </c>
      <c r="T55" s="9">
        <f t="shared" si="4"/>
        <v>0.00274</v>
      </c>
      <c r="U55" s="9">
        <f t="shared" si="5"/>
        <v>0.1865</v>
      </c>
      <c r="V55" s="9">
        <f t="shared" si="6"/>
        <v>0.000642</v>
      </c>
      <c r="W55" s="9">
        <f t="shared" si="7"/>
        <v>0.00124</v>
      </c>
      <c r="X55" s="9">
        <f t="shared" si="8"/>
        <v>0.0181428571428571</v>
      </c>
      <c r="Y55" s="9">
        <f t="shared" si="9"/>
        <v>0.144285714285714</v>
      </c>
      <c r="Z55" s="9">
        <f t="shared" si="10"/>
        <v>0.0174666666666667</v>
      </c>
      <c r="AA55" s="9">
        <f t="shared" si="11"/>
        <v>0.0222</v>
      </c>
      <c r="AB55" s="9">
        <f t="shared" si="12"/>
        <v>0.0713333333333333</v>
      </c>
      <c r="AC55" s="9">
        <f t="shared" si="13"/>
        <v>0.0171</v>
      </c>
      <c r="AD55" s="11">
        <f t="shared" si="14"/>
        <v>0.0724871836734694</v>
      </c>
    </row>
    <row r="56" spans="1:30">
      <c r="A56" s="2" t="s">
        <v>147</v>
      </c>
      <c r="B56" s="2">
        <v>59.4</v>
      </c>
      <c r="C56" s="2">
        <v>0.241</v>
      </c>
      <c r="D56" s="2">
        <v>1.32</v>
      </c>
      <c r="E56" s="2">
        <v>1.81</v>
      </c>
      <c r="F56" s="2">
        <v>0.459</v>
      </c>
      <c r="G56" s="2">
        <v>12.2</v>
      </c>
      <c r="H56" s="2">
        <v>4.09</v>
      </c>
      <c r="I56" s="2">
        <v>22.9</v>
      </c>
      <c r="J56" s="2">
        <v>1.43</v>
      </c>
      <c r="K56" s="2">
        <v>123</v>
      </c>
      <c r="L56" s="2">
        <v>1.13</v>
      </c>
      <c r="M56" s="2">
        <v>1388</v>
      </c>
      <c r="N56" s="2">
        <v>73.1</v>
      </c>
      <c r="O56" s="2">
        <v>10.3</v>
      </c>
      <c r="P56" s="8">
        <f t="shared" si="0"/>
        <v>5.94</v>
      </c>
      <c r="Q56" s="9">
        <f t="shared" si="1"/>
        <v>0.1205</v>
      </c>
      <c r="R56" s="9">
        <f t="shared" si="2"/>
        <v>0.0132</v>
      </c>
      <c r="S56" s="9">
        <f t="shared" si="3"/>
        <v>0.0362</v>
      </c>
      <c r="T56" s="9">
        <f t="shared" si="4"/>
        <v>0.00918</v>
      </c>
      <c r="U56" s="9">
        <f t="shared" si="5"/>
        <v>0.61</v>
      </c>
      <c r="V56" s="9">
        <f t="shared" si="6"/>
        <v>0.00409</v>
      </c>
      <c r="W56" s="9">
        <f t="shared" si="7"/>
        <v>0.0229</v>
      </c>
      <c r="X56" s="9">
        <f t="shared" si="8"/>
        <v>0.0204285714285714</v>
      </c>
      <c r="Y56" s="9">
        <f t="shared" si="9"/>
        <v>0.175714285714286</v>
      </c>
      <c r="Z56" s="9">
        <f t="shared" si="10"/>
        <v>0.0376666666666667</v>
      </c>
      <c r="AA56" s="9">
        <f t="shared" si="11"/>
        <v>2.776</v>
      </c>
      <c r="AB56" s="9">
        <f t="shared" si="12"/>
        <v>0.243666666666667</v>
      </c>
      <c r="AC56" s="9">
        <f t="shared" si="13"/>
        <v>0.0515</v>
      </c>
      <c r="AD56" s="11">
        <f t="shared" si="14"/>
        <v>0.718646156462585</v>
      </c>
    </row>
    <row r="57" spans="1:30">
      <c r="A57" s="2" t="s">
        <v>150</v>
      </c>
      <c r="B57" s="2">
        <v>82.2</v>
      </c>
      <c r="C57" s="2">
        <v>3.83</v>
      </c>
      <c r="D57" s="2">
        <v>54.4</v>
      </c>
      <c r="E57" s="2">
        <v>2.99</v>
      </c>
      <c r="F57" s="2">
        <v>0.866</v>
      </c>
      <c r="G57" s="2">
        <v>21.6</v>
      </c>
      <c r="H57" s="2">
        <v>5.61</v>
      </c>
      <c r="I57" s="2">
        <v>3.18</v>
      </c>
      <c r="J57" s="2">
        <v>0.101</v>
      </c>
      <c r="K57" s="2">
        <v>48.5</v>
      </c>
      <c r="L57" s="2">
        <v>0.053</v>
      </c>
      <c r="M57" s="2">
        <v>3005</v>
      </c>
      <c r="N57" s="2">
        <v>1045</v>
      </c>
      <c r="O57" s="2">
        <v>13.3</v>
      </c>
      <c r="P57" s="8">
        <f t="shared" si="0"/>
        <v>8.22</v>
      </c>
      <c r="Q57" s="9">
        <f t="shared" si="1"/>
        <v>1.915</v>
      </c>
      <c r="R57" s="9">
        <f t="shared" si="2"/>
        <v>0.544</v>
      </c>
      <c r="S57" s="9">
        <f t="shared" si="3"/>
        <v>0.0598</v>
      </c>
      <c r="T57" s="9">
        <f t="shared" si="4"/>
        <v>0.01732</v>
      </c>
      <c r="U57" s="9">
        <f t="shared" si="5"/>
        <v>1.08</v>
      </c>
      <c r="V57" s="9">
        <f t="shared" si="6"/>
        <v>0.00561</v>
      </c>
      <c r="W57" s="9">
        <f t="shared" si="7"/>
        <v>0.00318</v>
      </c>
      <c r="X57" s="9">
        <f t="shared" si="8"/>
        <v>0.00144285714285714</v>
      </c>
      <c r="Y57" s="9">
        <f t="shared" si="9"/>
        <v>0.0692857142857143</v>
      </c>
      <c r="Z57" s="9">
        <f t="shared" si="10"/>
        <v>0.00176666666666667</v>
      </c>
      <c r="AA57" s="9">
        <f t="shared" si="11"/>
        <v>6.01</v>
      </c>
      <c r="AB57" s="9">
        <f t="shared" si="12"/>
        <v>3.48333333333333</v>
      </c>
      <c r="AC57" s="9">
        <f t="shared" si="13"/>
        <v>0.0665</v>
      </c>
      <c r="AD57" s="10">
        <f t="shared" si="14"/>
        <v>1.53408846938776</v>
      </c>
    </row>
    <row r="58" spans="1:30">
      <c r="A58" s="2" t="s">
        <v>153</v>
      </c>
      <c r="B58" s="2">
        <v>38.5</v>
      </c>
      <c r="C58" s="2">
        <v>0.045</v>
      </c>
      <c r="D58" s="2">
        <v>0.255</v>
      </c>
      <c r="E58" s="2">
        <v>1.65</v>
      </c>
      <c r="F58" s="2">
        <v>0.441</v>
      </c>
      <c r="G58" s="2">
        <v>11</v>
      </c>
      <c r="H58" s="2">
        <v>1.05</v>
      </c>
      <c r="I58" s="2">
        <v>1.19</v>
      </c>
      <c r="J58" s="2">
        <v>0.73</v>
      </c>
      <c r="K58" s="2">
        <v>114</v>
      </c>
      <c r="L58" s="2">
        <v>1.58</v>
      </c>
      <c r="M58" s="2">
        <v>351</v>
      </c>
      <c r="N58" s="2">
        <v>4.23</v>
      </c>
      <c r="O58" s="2">
        <v>4.72</v>
      </c>
      <c r="P58" s="8">
        <f t="shared" si="0"/>
        <v>3.85</v>
      </c>
      <c r="Q58" s="9">
        <f t="shared" si="1"/>
        <v>0.0225</v>
      </c>
      <c r="R58" s="9">
        <f t="shared" si="2"/>
        <v>0.00255</v>
      </c>
      <c r="S58" s="9">
        <f t="shared" si="3"/>
        <v>0.033</v>
      </c>
      <c r="T58" s="9">
        <f t="shared" si="4"/>
        <v>0.00882</v>
      </c>
      <c r="U58" s="9">
        <f t="shared" si="5"/>
        <v>0.55</v>
      </c>
      <c r="V58" s="9">
        <f t="shared" si="6"/>
        <v>0.00105</v>
      </c>
      <c r="W58" s="9">
        <f t="shared" si="7"/>
        <v>0.00119</v>
      </c>
      <c r="X58" s="9">
        <f t="shared" si="8"/>
        <v>0.0104285714285714</v>
      </c>
      <c r="Y58" s="9">
        <f t="shared" si="9"/>
        <v>0.162857142857143</v>
      </c>
      <c r="Z58" s="9">
        <f t="shared" si="10"/>
        <v>0.0526666666666667</v>
      </c>
      <c r="AA58" s="9">
        <f t="shared" si="11"/>
        <v>0.702</v>
      </c>
      <c r="AB58" s="9">
        <f t="shared" si="12"/>
        <v>0.0141</v>
      </c>
      <c r="AC58" s="9">
        <f t="shared" si="13"/>
        <v>0.0236</v>
      </c>
      <c r="AD58" s="11">
        <f t="shared" si="14"/>
        <v>0.38819731292517</v>
      </c>
    </row>
    <row r="59" spans="1:30">
      <c r="A59" s="2" t="s">
        <v>156</v>
      </c>
      <c r="B59" s="2">
        <v>40.4</v>
      </c>
      <c r="C59" s="2">
        <v>2.45</v>
      </c>
      <c r="D59" s="2">
        <v>209</v>
      </c>
      <c r="E59" s="2">
        <v>4.39</v>
      </c>
      <c r="F59" s="2">
        <v>1.21</v>
      </c>
      <c r="G59" s="2">
        <v>25.5</v>
      </c>
      <c r="H59" s="2">
        <v>5.44</v>
      </c>
      <c r="I59" s="2">
        <v>7.88</v>
      </c>
      <c r="J59" s="2">
        <v>0.024</v>
      </c>
      <c r="K59" s="2">
        <v>38.2</v>
      </c>
      <c r="L59" s="2">
        <v>0.448</v>
      </c>
      <c r="M59" s="2">
        <v>655</v>
      </c>
      <c r="N59" s="2">
        <v>353</v>
      </c>
      <c r="O59" s="2">
        <v>14.9</v>
      </c>
      <c r="P59" s="8">
        <f t="shared" si="0"/>
        <v>4.04</v>
      </c>
      <c r="Q59" s="9">
        <f t="shared" si="1"/>
        <v>1.225</v>
      </c>
      <c r="R59" s="9">
        <f t="shared" si="2"/>
        <v>2.09</v>
      </c>
      <c r="S59" s="9">
        <f t="shared" si="3"/>
        <v>0.0878</v>
      </c>
      <c r="T59" s="9">
        <f t="shared" si="4"/>
        <v>0.0242</v>
      </c>
      <c r="U59" s="9">
        <f t="shared" si="5"/>
        <v>1.275</v>
      </c>
      <c r="V59" s="9">
        <f t="shared" si="6"/>
        <v>0.00544</v>
      </c>
      <c r="W59" s="9">
        <f t="shared" si="7"/>
        <v>0.00788</v>
      </c>
      <c r="X59" s="9">
        <f t="shared" si="8"/>
        <v>0.000342857142857143</v>
      </c>
      <c r="Y59" s="9">
        <f t="shared" si="9"/>
        <v>0.0545714285714286</v>
      </c>
      <c r="Z59" s="9">
        <f t="shared" si="10"/>
        <v>0.0149333333333333</v>
      </c>
      <c r="AA59" s="9">
        <f t="shared" si="11"/>
        <v>1.31</v>
      </c>
      <c r="AB59" s="9">
        <f t="shared" si="12"/>
        <v>1.17666666666667</v>
      </c>
      <c r="AC59" s="9">
        <f t="shared" si="13"/>
        <v>0.0745</v>
      </c>
      <c r="AD59" s="11">
        <f t="shared" si="14"/>
        <v>0.813309591836735</v>
      </c>
    </row>
    <row r="60" spans="1:30">
      <c r="A60" s="2" t="s">
        <v>159</v>
      </c>
      <c r="B60" s="2">
        <v>4.12</v>
      </c>
      <c r="C60" s="2">
        <v>0.017</v>
      </c>
      <c r="D60" s="2">
        <v>3.27</v>
      </c>
      <c r="E60" s="2">
        <v>1.99</v>
      </c>
      <c r="F60" s="2">
        <v>0.381</v>
      </c>
      <c r="G60" s="2">
        <v>8.25</v>
      </c>
      <c r="H60" s="2">
        <v>2.16</v>
      </c>
      <c r="I60" s="2">
        <v>9.95</v>
      </c>
      <c r="J60" s="2">
        <v>9.43</v>
      </c>
      <c r="K60" s="2">
        <v>95.3</v>
      </c>
      <c r="L60" s="2">
        <v>2.31</v>
      </c>
      <c r="M60" s="2">
        <v>84.2</v>
      </c>
      <c r="N60" s="2">
        <v>126</v>
      </c>
      <c r="O60" s="2">
        <v>40.8</v>
      </c>
      <c r="P60" s="8">
        <f t="shared" si="0"/>
        <v>0.412</v>
      </c>
      <c r="Q60" s="9">
        <f t="shared" si="1"/>
        <v>0.0085</v>
      </c>
      <c r="R60" s="9">
        <f t="shared" si="2"/>
        <v>0.0327</v>
      </c>
      <c r="S60" s="9">
        <f t="shared" si="3"/>
        <v>0.0398</v>
      </c>
      <c r="T60" s="9">
        <f t="shared" si="4"/>
        <v>0.00762</v>
      </c>
      <c r="U60" s="9">
        <f t="shared" si="5"/>
        <v>0.4125</v>
      </c>
      <c r="V60" s="9">
        <f t="shared" si="6"/>
        <v>0.00216</v>
      </c>
      <c r="W60" s="9">
        <f t="shared" si="7"/>
        <v>0.00995</v>
      </c>
      <c r="X60" s="9">
        <f t="shared" si="8"/>
        <v>0.134714285714286</v>
      </c>
      <c r="Y60" s="9">
        <f t="shared" si="9"/>
        <v>0.136142857142857</v>
      </c>
      <c r="Z60" s="9">
        <f t="shared" si="10"/>
        <v>0.077</v>
      </c>
      <c r="AA60" s="9">
        <f t="shared" si="11"/>
        <v>0.1684</v>
      </c>
      <c r="AB60" s="9">
        <f t="shared" si="12"/>
        <v>0.42</v>
      </c>
      <c r="AC60" s="9">
        <f t="shared" si="13"/>
        <v>0.204</v>
      </c>
      <c r="AD60" s="11">
        <f t="shared" si="14"/>
        <v>0.147534795918367</v>
      </c>
    </row>
    <row r="61" spans="1:30">
      <c r="A61" s="2" t="s">
        <v>162</v>
      </c>
      <c r="B61" s="2">
        <v>0.9</v>
      </c>
      <c r="C61" s="2">
        <v>0.012</v>
      </c>
      <c r="D61" s="2">
        <v>2.85</v>
      </c>
      <c r="E61" s="2">
        <v>1.43</v>
      </c>
      <c r="F61" s="2">
        <v>0.373</v>
      </c>
      <c r="G61" s="2">
        <v>8.58</v>
      </c>
      <c r="H61" s="2">
        <v>4.06</v>
      </c>
      <c r="I61" s="2">
        <v>13.6</v>
      </c>
      <c r="J61" s="2">
        <v>2.24</v>
      </c>
      <c r="K61" s="2">
        <v>27.9</v>
      </c>
      <c r="L61" s="2">
        <v>4.51</v>
      </c>
      <c r="M61" s="2">
        <v>150</v>
      </c>
      <c r="N61" s="2">
        <v>86</v>
      </c>
      <c r="O61" s="2">
        <v>5.33</v>
      </c>
      <c r="P61" s="8">
        <f t="shared" si="0"/>
        <v>0.09</v>
      </c>
      <c r="Q61" s="9">
        <f t="shared" si="1"/>
        <v>0.006</v>
      </c>
      <c r="R61" s="9">
        <f t="shared" si="2"/>
        <v>0.0285</v>
      </c>
      <c r="S61" s="9">
        <f t="shared" si="3"/>
        <v>0.0286</v>
      </c>
      <c r="T61" s="9">
        <f t="shared" si="4"/>
        <v>0.00746</v>
      </c>
      <c r="U61" s="9">
        <f t="shared" si="5"/>
        <v>0.429</v>
      </c>
      <c r="V61" s="9">
        <f t="shared" si="6"/>
        <v>0.00406</v>
      </c>
      <c r="W61" s="9">
        <f t="shared" si="7"/>
        <v>0.0136</v>
      </c>
      <c r="X61" s="9">
        <f t="shared" si="8"/>
        <v>0.032</v>
      </c>
      <c r="Y61" s="9">
        <f t="shared" si="9"/>
        <v>0.0398571428571429</v>
      </c>
      <c r="Z61" s="9">
        <f t="shared" si="10"/>
        <v>0.150333333333333</v>
      </c>
      <c r="AA61" s="9">
        <f t="shared" si="11"/>
        <v>0.3</v>
      </c>
      <c r="AB61" s="9">
        <f t="shared" si="12"/>
        <v>0.286666666666667</v>
      </c>
      <c r="AC61" s="9">
        <f t="shared" si="13"/>
        <v>0.02665</v>
      </c>
      <c r="AD61" s="11">
        <f t="shared" si="14"/>
        <v>0.10305193877551</v>
      </c>
    </row>
    <row r="62" spans="1:30">
      <c r="A62" s="2" t="s">
        <v>165</v>
      </c>
      <c r="B62" s="2">
        <v>5.66</v>
      </c>
      <c r="C62" s="2">
        <v>1.61</v>
      </c>
      <c r="D62" s="2">
        <v>17.2</v>
      </c>
      <c r="E62" s="2">
        <v>4.51</v>
      </c>
      <c r="F62" s="2">
        <v>0.757</v>
      </c>
      <c r="G62" s="2">
        <v>20</v>
      </c>
      <c r="H62" s="2">
        <v>3.98</v>
      </c>
      <c r="I62" s="2">
        <v>10.4</v>
      </c>
      <c r="J62" s="2">
        <v>0.239</v>
      </c>
      <c r="K62" s="2">
        <v>44.6</v>
      </c>
      <c r="L62" s="2">
        <v>1.75</v>
      </c>
      <c r="M62" s="2">
        <v>1672</v>
      </c>
      <c r="N62" s="2">
        <v>48.1</v>
      </c>
      <c r="O62" s="2">
        <v>6.58</v>
      </c>
      <c r="P62" s="8">
        <f t="shared" si="0"/>
        <v>0.566</v>
      </c>
      <c r="Q62" s="9">
        <f t="shared" si="1"/>
        <v>0.805</v>
      </c>
      <c r="R62" s="9">
        <f t="shared" si="2"/>
        <v>0.172</v>
      </c>
      <c r="S62" s="9">
        <f t="shared" si="3"/>
        <v>0.0902</v>
      </c>
      <c r="T62" s="9">
        <f t="shared" si="4"/>
        <v>0.01514</v>
      </c>
      <c r="U62" s="9">
        <f t="shared" si="5"/>
        <v>1</v>
      </c>
      <c r="V62" s="9">
        <f t="shared" si="6"/>
        <v>0.00398</v>
      </c>
      <c r="W62" s="9">
        <f t="shared" si="7"/>
        <v>0.0104</v>
      </c>
      <c r="X62" s="9">
        <f t="shared" si="8"/>
        <v>0.00341428571428571</v>
      </c>
      <c r="Y62" s="9">
        <f t="shared" si="9"/>
        <v>0.0637142857142857</v>
      </c>
      <c r="Z62" s="9">
        <f t="shared" si="10"/>
        <v>0.0583333333333333</v>
      </c>
      <c r="AA62" s="9">
        <f t="shared" si="11"/>
        <v>3.344</v>
      </c>
      <c r="AB62" s="9">
        <f t="shared" si="12"/>
        <v>0.160333333333333</v>
      </c>
      <c r="AC62" s="9">
        <f t="shared" si="13"/>
        <v>0.0329</v>
      </c>
      <c r="AD62" s="11">
        <f t="shared" si="14"/>
        <v>0.45181537414966</v>
      </c>
    </row>
    <row r="63" spans="1:30">
      <c r="A63" s="2" t="s">
        <v>168</v>
      </c>
      <c r="B63" s="2">
        <v>3.79</v>
      </c>
      <c r="C63" s="2">
        <v>0.564</v>
      </c>
      <c r="D63" s="2">
        <v>227</v>
      </c>
      <c r="E63" s="2">
        <v>2.17</v>
      </c>
      <c r="F63" s="2">
        <v>0.56</v>
      </c>
      <c r="G63" s="2">
        <v>9.14</v>
      </c>
      <c r="H63" s="2">
        <v>1.73</v>
      </c>
      <c r="I63" s="2">
        <v>15.9</v>
      </c>
      <c r="J63" s="2">
        <v>0.174</v>
      </c>
      <c r="K63" s="2">
        <v>78.1</v>
      </c>
      <c r="L63" s="2">
        <v>0.438</v>
      </c>
      <c r="M63" s="2">
        <v>489</v>
      </c>
      <c r="N63" s="2">
        <v>1008</v>
      </c>
      <c r="O63" s="2">
        <v>5.4</v>
      </c>
      <c r="P63" s="8">
        <f t="shared" si="0"/>
        <v>0.379</v>
      </c>
      <c r="Q63" s="9">
        <f t="shared" si="1"/>
        <v>0.282</v>
      </c>
      <c r="R63" s="9">
        <f t="shared" si="2"/>
        <v>2.27</v>
      </c>
      <c r="S63" s="9">
        <f t="shared" si="3"/>
        <v>0.0434</v>
      </c>
      <c r="T63" s="9">
        <f t="shared" si="4"/>
        <v>0.0112</v>
      </c>
      <c r="U63" s="9">
        <f t="shared" si="5"/>
        <v>0.457</v>
      </c>
      <c r="V63" s="9">
        <f t="shared" si="6"/>
        <v>0.00173</v>
      </c>
      <c r="W63" s="9">
        <f t="shared" si="7"/>
        <v>0.0159</v>
      </c>
      <c r="X63" s="9">
        <f t="shared" si="8"/>
        <v>0.00248571428571429</v>
      </c>
      <c r="Y63" s="9">
        <f t="shared" si="9"/>
        <v>0.111571428571429</v>
      </c>
      <c r="Z63" s="9">
        <f t="shared" si="10"/>
        <v>0.0146</v>
      </c>
      <c r="AA63" s="9">
        <f t="shared" si="11"/>
        <v>0.978</v>
      </c>
      <c r="AB63" s="9">
        <f t="shared" si="12"/>
        <v>3.36</v>
      </c>
      <c r="AC63" s="9">
        <f t="shared" si="13"/>
        <v>0.027</v>
      </c>
      <c r="AD63" s="11">
        <f t="shared" si="14"/>
        <v>0.568134795918367</v>
      </c>
    </row>
    <row r="64" spans="1:30">
      <c r="A64" s="2" t="s">
        <v>170</v>
      </c>
      <c r="B64" s="2">
        <v>1.32</v>
      </c>
      <c r="C64" s="2">
        <v>0.021</v>
      </c>
      <c r="D64" s="2">
        <v>88.3</v>
      </c>
      <c r="E64" s="2">
        <v>1.97</v>
      </c>
      <c r="F64" s="2">
        <v>0.454</v>
      </c>
      <c r="G64" s="2">
        <v>5.96</v>
      </c>
      <c r="H64" s="2">
        <v>2.17</v>
      </c>
      <c r="I64" s="2">
        <v>5.86</v>
      </c>
      <c r="J64" s="2">
        <v>5.97</v>
      </c>
      <c r="K64" s="2">
        <v>78.6</v>
      </c>
      <c r="L64" s="2">
        <v>1.78</v>
      </c>
      <c r="M64" s="2">
        <v>535</v>
      </c>
      <c r="N64" s="2">
        <v>352</v>
      </c>
      <c r="O64" s="2">
        <v>16.8</v>
      </c>
      <c r="P64" s="8">
        <f t="shared" si="0"/>
        <v>0.132</v>
      </c>
      <c r="Q64" s="9">
        <f t="shared" si="1"/>
        <v>0.0105</v>
      </c>
      <c r="R64" s="9">
        <f t="shared" si="2"/>
        <v>0.883</v>
      </c>
      <c r="S64" s="9">
        <f t="shared" si="3"/>
        <v>0.0394</v>
      </c>
      <c r="T64" s="9">
        <f t="shared" si="4"/>
        <v>0.00908</v>
      </c>
      <c r="U64" s="9">
        <f t="shared" si="5"/>
        <v>0.298</v>
      </c>
      <c r="V64" s="9">
        <f t="shared" si="6"/>
        <v>0.00217</v>
      </c>
      <c r="W64" s="9">
        <f t="shared" si="7"/>
        <v>0.00586</v>
      </c>
      <c r="X64" s="9">
        <f t="shared" si="8"/>
        <v>0.0852857142857143</v>
      </c>
      <c r="Y64" s="9">
        <f t="shared" si="9"/>
        <v>0.112285714285714</v>
      </c>
      <c r="Z64" s="9">
        <f t="shared" si="10"/>
        <v>0.0593333333333333</v>
      </c>
      <c r="AA64" s="9">
        <f t="shared" si="11"/>
        <v>1.07</v>
      </c>
      <c r="AB64" s="9">
        <f t="shared" si="12"/>
        <v>1.17333333333333</v>
      </c>
      <c r="AC64" s="9">
        <f t="shared" si="13"/>
        <v>0.084</v>
      </c>
      <c r="AD64" s="11">
        <f t="shared" si="14"/>
        <v>0.283160578231293</v>
      </c>
    </row>
    <row r="65" spans="1:30">
      <c r="A65" s="2" t="s">
        <v>173</v>
      </c>
      <c r="B65" s="2">
        <v>2.24</v>
      </c>
      <c r="C65" s="2">
        <v>0.019</v>
      </c>
      <c r="D65" s="2">
        <v>2.36</v>
      </c>
      <c r="E65" s="2">
        <v>1.83</v>
      </c>
      <c r="F65" s="2">
        <v>0.066</v>
      </c>
      <c r="G65" s="2">
        <v>1.26</v>
      </c>
      <c r="H65" s="2">
        <v>0.901</v>
      </c>
      <c r="I65" s="2">
        <v>4.14</v>
      </c>
      <c r="J65" s="2">
        <v>0.911</v>
      </c>
      <c r="K65" s="2">
        <v>142</v>
      </c>
      <c r="L65" s="2">
        <v>0.443</v>
      </c>
      <c r="M65" s="2">
        <v>4262</v>
      </c>
      <c r="N65" s="2">
        <v>62.4</v>
      </c>
      <c r="O65" s="2">
        <v>12</v>
      </c>
      <c r="P65" s="8">
        <f t="shared" si="0"/>
        <v>0.224</v>
      </c>
      <c r="Q65" s="9">
        <f t="shared" si="1"/>
        <v>0.0095</v>
      </c>
      <c r="R65" s="9">
        <f t="shared" si="2"/>
        <v>0.0236</v>
      </c>
      <c r="S65" s="9">
        <f t="shared" si="3"/>
        <v>0.0366</v>
      </c>
      <c r="T65" s="9">
        <f t="shared" si="4"/>
        <v>0.00132</v>
      </c>
      <c r="U65" s="9">
        <f t="shared" si="5"/>
        <v>0.063</v>
      </c>
      <c r="V65" s="9">
        <f t="shared" si="6"/>
        <v>0.000901</v>
      </c>
      <c r="W65" s="9">
        <f t="shared" si="7"/>
        <v>0.00414</v>
      </c>
      <c r="X65" s="9">
        <f t="shared" si="8"/>
        <v>0.0130142857142857</v>
      </c>
      <c r="Y65" s="9">
        <f t="shared" si="9"/>
        <v>0.202857142857143</v>
      </c>
      <c r="Z65" s="9">
        <f t="shared" si="10"/>
        <v>0.0147666666666667</v>
      </c>
      <c r="AA65" s="9">
        <f t="shared" si="11"/>
        <v>8.524</v>
      </c>
      <c r="AB65" s="9">
        <f t="shared" si="12"/>
        <v>0.208</v>
      </c>
      <c r="AC65" s="9">
        <f t="shared" si="13"/>
        <v>0.06</v>
      </c>
      <c r="AD65" s="11">
        <f t="shared" si="14"/>
        <v>0.670407078231293</v>
      </c>
    </row>
    <row r="66" spans="1:30">
      <c r="A66" s="2" t="s">
        <v>175</v>
      </c>
      <c r="B66" s="2">
        <v>0.77</v>
      </c>
      <c r="C66" s="2">
        <v>0.007</v>
      </c>
      <c r="D66" s="2">
        <v>1.02</v>
      </c>
      <c r="E66" s="2">
        <v>2.13</v>
      </c>
      <c r="F66" s="2">
        <v>0.188</v>
      </c>
      <c r="G66" s="2">
        <v>4.3</v>
      </c>
      <c r="H66" s="2">
        <v>0.8</v>
      </c>
      <c r="I66" s="2">
        <v>3.52</v>
      </c>
      <c r="J66" s="2">
        <v>3.21</v>
      </c>
      <c r="K66" s="2">
        <v>61.7</v>
      </c>
      <c r="L66" s="2">
        <v>1.28</v>
      </c>
      <c r="M66" s="2">
        <v>320</v>
      </c>
      <c r="N66" s="2">
        <v>41.3</v>
      </c>
      <c r="O66" s="2">
        <v>6.03</v>
      </c>
      <c r="P66" s="8">
        <f t="shared" si="0"/>
        <v>0.077</v>
      </c>
      <c r="Q66" s="9">
        <f t="shared" si="1"/>
        <v>0.0035</v>
      </c>
      <c r="R66" s="9">
        <f t="shared" si="2"/>
        <v>0.0102</v>
      </c>
      <c r="S66" s="9">
        <f t="shared" si="3"/>
        <v>0.0426</v>
      </c>
      <c r="T66" s="9">
        <f t="shared" si="4"/>
        <v>0.00376</v>
      </c>
      <c r="U66" s="9">
        <f t="shared" si="5"/>
        <v>0.215</v>
      </c>
      <c r="V66" s="9">
        <f t="shared" si="6"/>
        <v>0.0008</v>
      </c>
      <c r="W66" s="9">
        <f t="shared" si="7"/>
        <v>0.00352</v>
      </c>
      <c r="X66" s="9">
        <f t="shared" si="8"/>
        <v>0.0458571428571429</v>
      </c>
      <c r="Y66" s="9">
        <f t="shared" si="9"/>
        <v>0.0881428571428571</v>
      </c>
      <c r="Z66" s="9">
        <f t="shared" si="10"/>
        <v>0.0426666666666667</v>
      </c>
      <c r="AA66" s="9">
        <f t="shared" si="11"/>
        <v>0.64</v>
      </c>
      <c r="AB66" s="9">
        <f t="shared" si="12"/>
        <v>0.137666666666667</v>
      </c>
      <c r="AC66" s="9">
        <f t="shared" si="13"/>
        <v>0.03015</v>
      </c>
      <c r="AD66" s="11">
        <f t="shared" si="14"/>
        <v>0.0957759523809524</v>
      </c>
    </row>
    <row r="67" spans="1:30">
      <c r="A67" s="2" t="s">
        <v>177</v>
      </c>
      <c r="B67" s="2">
        <v>0.6</v>
      </c>
      <c r="C67" s="2">
        <v>0.004</v>
      </c>
      <c r="D67" s="2">
        <v>27.1</v>
      </c>
      <c r="E67" s="2">
        <v>2.38</v>
      </c>
      <c r="F67" s="2">
        <v>0.248</v>
      </c>
      <c r="G67" s="2">
        <v>2.89</v>
      </c>
      <c r="H67" s="2">
        <v>1.33</v>
      </c>
      <c r="I67" s="2">
        <v>2.06</v>
      </c>
      <c r="J67" s="2">
        <v>4.38</v>
      </c>
      <c r="K67" s="2">
        <v>13.7</v>
      </c>
      <c r="L67" s="2">
        <v>0.279</v>
      </c>
      <c r="M67" s="2">
        <v>684</v>
      </c>
      <c r="N67" s="2">
        <v>2298</v>
      </c>
      <c r="O67" s="2">
        <v>140</v>
      </c>
      <c r="P67" s="8">
        <f t="shared" si="0"/>
        <v>0.06</v>
      </c>
      <c r="Q67" s="9">
        <f t="shared" si="1"/>
        <v>0.002</v>
      </c>
      <c r="R67" s="9">
        <f t="shared" si="2"/>
        <v>0.271</v>
      </c>
      <c r="S67" s="9">
        <f t="shared" si="3"/>
        <v>0.0476</v>
      </c>
      <c r="T67" s="9">
        <f t="shared" si="4"/>
        <v>0.00496</v>
      </c>
      <c r="U67" s="9">
        <f t="shared" si="5"/>
        <v>0.1445</v>
      </c>
      <c r="V67" s="9">
        <f t="shared" si="6"/>
        <v>0.00133</v>
      </c>
      <c r="W67" s="9">
        <f t="shared" si="7"/>
        <v>0.00206</v>
      </c>
      <c r="X67" s="9">
        <f t="shared" si="8"/>
        <v>0.0625714285714286</v>
      </c>
      <c r="Y67" s="9">
        <f t="shared" si="9"/>
        <v>0.0195714285714286</v>
      </c>
      <c r="Z67" s="9">
        <f t="shared" si="10"/>
        <v>0.0093</v>
      </c>
      <c r="AA67" s="9">
        <f t="shared" si="11"/>
        <v>1.368</v>
      </c>
      <c r="AB67" s="9">
        <f t="shared" si="12"/>
        <v>7.66</v>
      </c>
      <c r="AC67" s="9">
        <f t="shared" si="13"/>
        <v>0.7</v>
      </c>
      <c r="AD67" s="11">
        <f t="shared" si="14"/>
        <v>0.739492346938776</v>
      </c>
    </row>
    <row r="68" spans="1:30">
      <c r="A68" s="2" t="s">
        <v>179</v>
      </c>
      <c r="B68" s="2">
        <v>349</v>
      </c>
      <c r="C68" s="2">
        <v>0.586</v>
      </c>
      <c r="D68" s="2">
        <v>48.8</v>
      </c>
      <c r="E68" s="2">
        <v>1.46</v>
      </c>
      <c r="F68" s="2">
        <v>0.811</v>
      </c>
      <c r="G68" s="2">
        <v>9.7</v>
      </c>
      <c r="H68" s="2">
        <v>3.2</v>
      </c>
      <c r="I68" s="2">
        <v>8.01</v>
      </c>
      <c r="J68" s="2">
        <v>0.876</v>
      </c>
      <c r="K68" s="2">
        <v>51.5</v>
      </c>
      <c r="L68" s="2">
        <v>0.508</v>
      </c>
      <c r="M68" s="2">
        <v>2990</v>
      </c>
      <c r="N68" s="2">
        <v>10480</v>
      </c>
      <c r="O68" s="2">
        <v>65.8</v>
      </c>
      <c r="P68" s="8">
        <f t="shared" si="0"/>
        <v>34.9</v>
      </c>
      <c r="Q68" s="9">
        <f t="shared" si="1"/>
        <v>0.293</v>
      </c>
      <c r="R68" s="9">
        <f t="shared" si="2"/>
        <v>0.488</v>
      </c>
      <c r="S68" s="9">
        <f t="shared" si="3"/>
        <v>0.0292</v>
      </c>
      <c r="T68" s="9">
        <f t="shared" si="4"/>
        <v>0.01622</v>
      </c>
      <c r="U68" s="9">
        <f t="shared" si="5"/>
        <v>0.485</v>
      </c>
      <c r="V68" s="9">
        <f t="shared" si="6"/>
        <v>0.0032</v>
      </c>
      <c r="W68" s="9">
        <f t="shared" si="7"/>
        <v>0.00801</v>
      </c>
      <c r="X68" s="9">
        <f t="shared" si="8"/>
        <v>0.0125142857142857</v>
      </c>
      <c r="Y68" s="9">
        <f t="shared" si="9"/>
        <v>0.0735714285714286</v>
      </c>
      <c r="Z68" s="9">
        <f t="shared" si="10"/>
        <v>0.0169333333333333</v>
      </c>
      <c r="AA68" s="9">
        <f t="shared" si="11"/>
        <v>5.98</v>
      </c>
      <c r="AB68" s="9">
        <f t="shared" si="12"/>
        <v>34.9333333333333</v>
      </c>
      <c r="AC68" s="9">
        <f t="shared" si="13"/>
        <v>0.329</v>
      </c>
      <c r="AD68" s="10">
        <f t="shared" si="14"/>
        <v>5.54057017006803</v>
      </c>
    </row>
    <row r="69" spans="1:30">
      <c r="A69" s="2" t="s">
        <v>182</v>
      </c>
      <c r="B69" s="2">
        <v>2.38</v>
      </c>
      <c r="C69" s="2">
        <v>0.016</v>
      </c>
      <c r="D69" s="2">
        <v>1.92</v>
      </c>
      <c r="E69" s="2">
        <v>3.29</v>
      </c>
      <c r="F69" s="2">
        <v>0.136</v>
      </c>
      <c r="G69" s="2">
        <v>1.26</v>
      </c>
      <c r="H69" s="2">
        <v>0.723</v>
      </c>
      <c r="I69" s="2">
        <v>3.67</v>
      </c>
      <c r="J69" s="2">
        <v>0.513</v>
      </c>
      <c r="K69" s="2">
        <v>54</v>
      </c>
      <c r="L69" s="2">
        <v>0.253</v>
      </c>
      <c r="M69" s="2">
        <v>101</v>
      </c>
      <c r="N69" s="2">
        <v>727</v>
      </c>
      <c r="O69" s="2">
        <v>55.3</v>
      </c>
      <c r="P69" s="8">
        <f t="shared" ref="P69:P77" si="15">B69/10</f>
        <v>0.238</v>
      </c>
      <c r="Q69" s="9">
        <f t="shared" ref="Q69:Q77" si="16">C69/2</f>
        <v>0.008</v>
      </c>
      <c r="R69" s="9">
        <f t="shared" ref="R69:R77" si="17">D69/100</f>
        <v>0.0192</v>
      </c>
      <c r="S69" s="9">
        <f t="shared" ref="S69:S77" si="18">E69/50</f>
        <v>0.0658</v>
      </c>
      <c r="T69" s="9">
        <f t="shared" ref="T69:T77" si="19">F69/50</f>
        <v>0.00272</v>
      </c>
      <c r="U69" s="9">
        <f t="shared" ref="U69:U77" si="20">G69/20</f>
        <v>0.063</v>
      </c>
      <c r="V69" s="9">
        <f t="shared" ref="V69:V77" si="21">H69/1000</f>
        <v>0.000723</v>
      </c>
      <c r="W69" s="9">
        <f t="shared" ref="W69:W77" si="22">I69/1000</f>
        <v>0.00367</v>
      </c>
      <c r="X69" s="9">
        <f t="shared" ref="X69:X77" si="23">J69/70</f>
        <v>0.00732857142857143</v>
      </c>
      <c r="Y69" s="9">
        <f t="shared" ref="Y69:Y77" si="24">K69/700</f>
        <v>0.0771428571428571</v>
      </c>
      <c r="Z69" s="9">
        <f t="shared" ref="Z69:Z77" si="25">L69/30</f>
        <v>0.00843333333333333</v>
      </c>
      <c r="AA69" s="9">
        <f t="shared" ref="AA69:AA77" si="26">M69/500</f>
        <v>0.202</v>
      </c>
      <c r="AB69" s="9">
        <f t="shared" ref="AB69:AB77" si="27">N69/300</f>
        <v>2.42333333333333</v>
      </c>
      <c r="AC69" s="9">
        <f t="shared" ref="AC69:AC77" si="28">O69/200</f>
        <v>0.2765</v>
      </c>
      <c r="AD69" s="11">
        <f t="shared" ref="AD69:AD77" si="29">(P69+Q69+R69+S69+T69+U69+V69+W69+X69+Y69+Z69+AA69+AB69+AC69)/14</f>
        <v>0.242560792517007</v>
      </c>
    </row>
    <row r="70" spans="1:30">
      <c r="A70" s="2" t="s">
        <v>184</v>
      </c>
      <c r="B70" s="2">
        <v>11</v>
      </c>
      <c r="C70" s="2">
        <v>0.233</v>
      </c>
      <c r="D70" s="2">
        <v>32.3</v>
      </c>
      <c r="E70" s="2">
        <v>1.53</v>
      </c>
      <c r="F70" s="2">
        <v>0.534</v>
      </c>
      <c r="G70" s="2">
        <v>12.8</v>
      </c>
      <c r="H70" s="2">
        <v>5.43</v>
      </c>
      <c r="I70" s="2">
        <v>5.66</v>
      </c>
      <c r="J70" s="2">
        <v>0.875</v>
      </c>
      <c r="K70" s="2">
        <v>27</v>
      </c>
      <c r="L70" s="2">
        <v>0.15</v>
      </c>
      <c r="M70" s="2">
        <v>421</v>
      </c>
      <c r="N70" s="2">
        <v>10520</v>
      </c>
      <c r="O70" s="2">
        <v>7.4</v>
      </c>
      <c r="P70" s="8">
        <f t="shared" si="15"/>
        <v>1.1</v>
      </c>
      <c r="Q70" s="9">
        <f t="shared" si="16"/>
        <v>0.1165</v>
      </c>
      <c r="R70" s="9">
        <f t="shared" si="17"/>
        <v>0.323</v>
      </c>
      <c r="S70" s="9">
        <f t="shared" si="18"/>
        <v>0.0306</v>
      </c>
      <c r="T70" s="9">
        <f t="shared" si="19"/>
        <v>0.01068</v>
      </c>
      <c r="U70" s="9">
        <f t="shared" si="20"/>
        <v>0.64</v>
      </c>
      <c r="V70" s="9">
        <f t="shared" si="21"/>
        <v>0.00543</v>
      </c>
      <c r="W70" s="9">
        <f t="shared" si="22"/>
        <v>0.00566</v>
      </c>
      <c r="X70" s="9">
        <f t="shared" si="23"/>
        <v>0.0125</v>
      </c>
      <c r="Y70" s="9">
        <f t="shared" si="24"/>
        <v>0.0385714285714286</v>
      </c>
      <c r="Z70" s="9">
        <f t="shared" si="25"/>
        <v>0.005</v>
      </c>
      <c r="AA70" s="9">
        <f t="shared" si="26"/>
        <v>0.842</v>
      </c>
      <c r="AB70" s="9">
        <f t="shared" si="27"/>
        <v>35.0666666666667</v>
      </c>
      <c r="AC70" s="9">
        <f t="shared" si="28"/>
        <v>0.037</v>
      </c>
      <c r="AD70" s="10">
        <f t="shared" si="29"/>
        <v>2.73097200680272</v>
      </c>
    </row>
    <row r="71" spans="1:30">
      <c r="A71" s="2" t="s">
        <v>186</v>
      </c>
      <c r="B71" s="2">
        <v>0.82</v>
      </c>
      <c r="C71" s="2">
        <v>0.011</v>
      </c>
      <c r="D71" s="2">
        <v>0.09</v>
      </c>
      <c r="E71" s="2">
        <v>2.13</v>
      </c>
      <c r="F71" s="2">
        <v>0.154</v>
      </c>
      <c r="G71" s="2">
        <v>3.74</v>
      </c>
      <c r="H71" s="2">
        <v>1.18</v>
      </c>
      <c r="I71" s="2">
        <v>2.86</v>
      </c>
      <c r="J71" s="2">
        <v>0.074</v>
      </c>
      <c r="K71" s="2">
        <v>56.8</v>
      </c>
      <c r="L71" s="2">
        <v>0.333</v>
      </c>
      <c r="M71" s="2">
        <v>7.9</v>
      </c>
      <c r="N71" s="2">
        <v>36.7</v>
      </c>
      <c r="O71" s="2">
        <v>4.47</v>
      </c>
      <c r="P71" s="8">
        <f t="shared" si="15"/>
        <v>0.082</v>
      </c>
      <c r="Q71" s="9">
        <f t="shared" si="16"/>
        <v>0.0055</v>
      </c>
      <c r="R71" s="9">
        <f t="shared" si="17"/>
        <v>0.0009</v>
      </c>
      <c r="S71" s="9">
        <f t="shared" si="18"/>
        <v>0.0426</v>
      </c>
      <c r="T71" s="9">
        <f t="shared" si="19"/>
        <v>0.00308</v>
      </c>
      <c r="U71" s="9">
        <f t="shared" si="20"/>
        <v>0.187</v>
      </c>
      <c r="V71" s="9">
        <f t="shared" si="21"/>
        <v>0.00118</v>
      </c>
      <c r="W71" s="9">
        <f t="shared" si="22"/>
        <v>0.00286</v>
      </c>
      <c r="X71" s="9">
        <f t="shared" si="23"/>
        <v>0.00105714285714286</v>
      </c>
      <c r="Y71" s="9">
        <f t="shared" si="24"/>
        <v>0.0811428571428571</v>
      </c>
      <c r="Z71" s="9">
        <f t="shared" si="25"/>
        <v>0.0111</v>
      </c>
      <c r="AA71" s="9">
        <f t="shared" si="26"/>
        <v>0.0158</v>
      </c>
      <c r="AB71" s="9">
        <f t="shared" si="27"/>
        <v>0.122333333333333</v>
      </c>
      <c r="AC71" s="9">
        <f t="shared" si="28"/>
        <v>0.02235</v>
      </c>
      <c r="AD71" s="11">
        <f t="shared" si="29"/>
        <v>0.0413502380952381</v>
      </c>
    </row>
    <row r="72" spans="1:30">
      <c r="A72" s="2" t="s">
        <v>188</v>
      </c>
      <c r="B72" s="2">
        <v>17.2</v>
      </c>
      <c r="C72" s="2">
        <v>0.012</v>
      </c>
      <c r="D72" s="2">
        <v>0.285</v>
      </c>
      <c r="E72" s="2">
        <v>1.66</v>
      </c>
      <c r="F72" s="2">
        <v>0.183</v>
      </c>
      <c r="G72" s="2">
        <v>4.35</v>
      </c>
      <c r="H72" s="2">
        <v>1.58</v>
      </c>
      <c r="I72" s="2">
        <v>14.2</v>
      </c>
      <c r="J72" s="2">
        <v>0.441</v>
      </c>
      <c r="K72" s="2">
        <v>110</v>
      </c>
      <c r="L72" s="2">
        <v>0.599</v>
      </c>
      <c r="M72" s="2">
        <v>236</v>
      </c>
      <c r="N72" s="2">
        <v>36.3</v>
      </c>
      <c r="O72" s="2">
        <v>5.3</v>
      </c>
      <c r="P72" s="8">
        <f t="shared" si="15"/>
        <v>1.72</v>
      </c>
      <c r="Q72" s="9">
        <f t="shared" si="16"/>
        <v>0.006</v>
      </c>
      <c r="R72" s="9">
        <f t="shared" si="17"/>
        <v>0.00285</v>
      </c>
      <c r="S72" s="9">
        <f t="shared" si="18"/>
        <v>0.0332</v>
      </c>
      <c r="T72" s="9">
        <f t="shared" si="19"/>
        <v>0.00366</v>
      </c>
      <c r="U72" s="9">
        <f t="shared" si="20"/>
        <v>0.2175</v>
      </c>
      <c r="V72" s="9">
        <f t="shared" si="21"/>
        <v>0.00158</v>
      </c>
      <c r="W72" s="9">
        <f t="shared" si="22"/>
        <v>0.0142</v>
      </c>
      <c r="X72" s="9">
        <f t="shared" si="23"/>
        <v>0.0063</v>
      </c>
      <c r="Y72" s="9">
        <f t="shared" si="24"/>
        <v>0.157142857142857</v>
      </c>
      <c r="Z72" s="9">
        <f t="shared" si="25"/>
        <v>0.0199666666666667</v>
      </c>
      <c r="AA72" s="9">
        <f t="shared" si="26"/>
        <v>0.472</v>
      </c>
      <c r="AB72" s="9">
        <f t="shared" si="27"/>
        <v>0.121</v>
      </c>
      <c r="AC72" s="9">
        <f t="shared" si="28"/>
        <v>0.0265</v>
      </c>
      <c r="AD72" s="11">
        <f t="shared" si="29"/>
        <v>0.200135680272109</v>
      </c>
    </row>
    <row r="73" spans="1:30">
      <c r="A73" s="2" t="s">
        <v>191</v>
      </c>
      <c r="B73" s="2">
        <v>1.92</v>
      </c>
      <c r="C73" s="2">
        <v>0.007</v>
      </c>
      <c r="D73" s="2">
        <v>1.01</v>
      </c>
      <c r="E73" s="2">
        <v>1.63</v>
      </c>
      <c r="F73" s="2">
        <v>0.218</v>
      </c>
      <c r="G73" s="2">
        <v>4.81</v>
      </c>
      <c r="H73" s="2">
        <v>0.508</v>
      </c>
      <c r="I73" s="2">
        <v>2.34</v>
      </c>
      <c r="J73" s="2">
        <v>0.168</v>
      </c>
      <c r="K73" s="2">
        <v>53.1</v>
      </c>
      <c r="L73" s="2">
        <v>0.415</v>
      </c>
      <c r="M73" s="2">
        <v>124</v>
      </c>
      <c r="N73" s="2">
        <v>47.5</v>
      </c>
      <c r="O73" s="2">
        <v>8.12</v>
      </c>
      <c r="P73" s="8">
        <f t="shared" si="15"/>
        <v>0.192</v>
      </c>
      <c r="Q73" s="9">
        <f t="shared" si="16"/>
        <v>0.0035</v>
      </c>
      <c r="R73" s="9">
        <f t="shared" si="17"/>
        <v>0.0101</v>
      </c>
      <c r="S73" s="9">
        <f t="shared" si="18"/>
        <v>0.0326</v>
      </c>
      <c r="T73" s="9">
        <f t="shared" si="19"/>
        <v>0.00436</v>
      </c>
      <c r="U73" s="9">
        <f t="shared" si="20"/>
        <v>0.2405</v>
      </c>
      <c r="V73" s="9">
        <f t="shared" si="21"/>
        <v>0.000508</v>
      </c>
      <c r="W73" s="9">
        <f t="shared" si="22"/>
        <v>0.00234</v>
      </c>
      <c r="X73" s="9">
        <f t="shared" si="23"/>
        <v>0.0024</v>
      </c>
      <c r="Y73" s="9">
        <f t="shared" si="24"/>
        <v>0.0758571428571429</v>
      </c>
      <c r="Z73" s="9">
        <f t="shared" si="25"/>
        <v>0.0138333333333333</v>
      </c>
      <c r="AA73" s="9">
        <f t="shared" si="26"/>
        <v>0.248</v>
      </c>
      <c r="AB73" s="9">
        <f t="shared" si="27"/>
        <v>0.158333333333333</v>
      </c>
      <c r="AC73" s="9">
        <f t="shared" si="28"/>
        <v>0.0406</v>
      </c>
      <c r="AD73" s="11">
        <f t="shared" si="29"/>
        <v>0.0732094149659864</v>
      </c>
    </row>
    <row r="74" spans="1:30">
      <c r="A74" s="2" t="s">
        <v>193</v>
      </c>
      <c r="B74" s="2" t="s">
        <v>31</v>
      </c>
      <c r="C74" s="2">
        <v>0.005</v>
      </c>
      <c r="D74" s="2">
        <v>0.731</v>
      </c>
      <c r="E74" s="2">
        <v>1.89</v>
      </c>
      <c r="F74" s="2">
        <v>0.199</v>
      </c>
      <c r="G74" s="2">
        <v>4.39</v>
      </c>
      <c r="H74" s="2">
        <v>0.362</v>
      </c>
      <c r="I74" s="2">
        <v>1.49</v>
      </c>
      <c r="J74" s="2">
        <v>0.044</v>
      </c>
      <c r="K74" s="2">
        <v>30.9</v>
      </c>
      <c r="L74" s="2">
        <v>0.243</v>
      </c>
      <c r="M74" s="2">
        <v>5.6</v>
      </c>
      <c r="N74" s="2">
        <v>46.5</v>
      </c>
      <c r="O74" s="2">
        <v>9.35</v>
      </c>
      <c r="P74" s="8"/>
      <c r="Q74" s="9">
        <f t="shared" si="16"/>
        <v>0.0025</v>
      </c>
      <c r="R74" s="9">
        <f t="shared" si="17"/>
        <v>0.00731</v>
      </c>
      <c r="S74" s="9">
        <f t="shared" si="18"/>
        <v>0.0378</v>
      </c>
      <c r="T74" s="9">
        <f t="shared" si="19"/>
        <v>0.00398</v>
      </c>
      <c r="U74" s="9">
        <f t="shared" si="20"/>
        <v>0.2195</v>
      </c>
      <c r="V74" s="9">
        <f t="shared" si="21"/>
        <v>0.000362</v>
      </c>
      <c r="W74" s="9">
        <f t="shared" si="22"/>
        <v>0.00149</v>
      </c>
      <c r="X74" s="9">
        <f t="shared" si="23"/>
        <v>0.000628571428571429</v>
      </c>
      <c r="Y74" s="9">
        <f t="shared" si="24"/>
        <v>0.0441428571428571</v>
      </c>
      <c r="Z74" s="9">
        <f t="shared" si="25"/>
        <v>0.0081</v>
      </c>
      <c r="AA74" s="9">
        <f t="shared" si="26"/>
        <v>0.0112</v>
      </c>
      <c r="AB74" s="9">
        <f t="shared" si="27"/>
        <v>0.155</v>
      </c>
      <c r="AC74" s="9">
        <f t="shared" si="28"/>
        <v>0.04675</v>
      </c>
      <c r="AD74" s="11">
        <f t="shared" si="29"/>
        <v>0.0384831020408163</v>
      </c>
    </row>
    <row r="75" spans="1:30">
      <c r="A75" s="2" t="s">
        <v>195</v>
      </c>
      <c r="B75" s="2">
        <v>22.6</v>
      </c>
      <c r="C75" s="2">
        <v>0.213</v>
      </c>
      <c r="D75" s="2">
        <v>49.9</v>
      </c>
      <c r="E75" s="2">
        <v>1.87</v>
      </c>
      <c r="F75" s="2">
        <v>0.218</v>
      </c>
      <c r="G75" s="2">
        <v>4.65</v>
      </c>
      <c r="H75" s="2">
        <v>2.04</v>
      </c>
      <c r="I75" s="2">
        <v>10.1</v>
      </c>
      <c r="J75" s="2">
        <v>0.512</v>
      </c>
      <c r="K75" s="2">
        <v>51</v>
      </c>
      <c r="L75" s="2">
        <v>0.198</v>
      </c>
      <c r="M75" s="2">
        <v>1600</v>
      </c>
      <c r="N75" s="2">
        <v>539</v>
      </c>
      <c r="O75" s="2">
        <v>11.7</v>
      </c>
      <c r="P75" s="8">
        <f t="shared" si="15"/>
        <v>2.26</v>
      </c>
      <c r="Q75" s="9">
        <f t="shared" si="16"/>
        <v>0.1065</v>
      </c>
      <c r="R75" s="9">
        <f t="shared" si="17"/>
        <v>0.499</v>
      </c>
      <c r="S75" s="9">
        <f t="shared" si="18"/>
        <v>0.0374</v>
      </c>
      <c r="T75" s="9">
        <f t="shared" si="19"/>
        <v>0.00436</v>
      </c>
      <c r="U75" s="9">
        <f t="shared" si="20"/>
        <v>0.2325</v>
      </c>
      <c r="V75" s="9">
        <f t="shared" si="21"/>
        <v>0.00204</v>
      </c>
      <c r="W75" s="9">
        <f t="shared" si="22"/>
        <v>0.0101</v>
      </c>
      <c r="X75" s="9">
        <f t="shared" si="23"/>
        <v>0.00731428571428571</v>
      </c>
      <c r="Y75" s="9">
        <f t="shared" si="24"/>
        <v>0.0728571428571429</v>
      </c>
      <c r="Z75" s="9">
        <f t="shared" si="25"/>
        <v>0.0066</v>
      </c>
      <c r="AA75" s="9">
        <f t="shared" si="26"/>
        <v>3.2</v>
      </c>
      <c r="AB75" s="9">
        <f t="shared" si="27"/>
        <v>1.79666666666667</v>
      </c>
      <c r="AC75" s="9">
        <f t="shared" si="28"/>
        <v>0.0585</v>
      </c>
      <c r="AD75" s="11">
        <f t="shared" si="29"/>
        <v>0.592417006802721</v>
      </c>
    </row>
    <row r="76" spans="1:30">
      <c r="A76" s="2" t="s">
        <v>198</v>
      </c>
      <c r="B76" s="2">
        <v>2.12</v>
      </c>
      <c r="C76" s="2" t="s">
        <v>228</v>
      </c>
      <c r="D76" s="2">
        <v>0.394</v>
      </c>
      <c r="E76" s="2">
        <v>1.68</v>
      </c>
      <c r="F76" s="2">
        <v>0.079</v>
      </c>
      <c r="G76" s="2">
        <v>1.91</v>
      </c>
      <c r="H76" s="2">
        <v>0.457</v>
      </c>
      <c r="I76" s="2">
        <v>1.34</v>
      </c>
      <c r="J76" s="2">
        <v>0.166</v>
      </c>
      <c r="K76" s="2">
        <v>10.8</v>
      </c>
      <c r="L76" s="2">
        <v>0.604</v>
      </c>
      <c r="M76" s="2">
        <v>8.11</v>
      </c>
      <c r="N76" s="2">
        <v>37.4</v>
      </c>
      <c r="O76" s="2">
        <v>7.39</v>
      </c>
      <c r="P76" s="8">
        <f t="shared" si="15"/>
        <v>0.212</v>
      </c>
      <c r="Q76" s="9"/>
      <c r="R76" s="9">
        <f t="shared" si="17"/>
        <v>0.00394</v>
      </c>
      <c r="S76" s="9">
        <f t="shared" si="18"/>
        <v>0.0336</v>
      </c>
      <c r="T76" s="9">
        <f t="shared" si="19"/>
        <v>0.00158</v>
      </c>
      <c r="U76" s="9">
        <f t="shared" si="20"/>
        <v>0.0955</v>
      </c>
      <c r="V76" s="9">
        <f t="shared" si="21"/>
        <v>0.000457</v>
      </c>
      <c r="W76" s="9">
        <f t="shared" si="22"/>
        <v>0.00134</v>
      </c>
      <c r="X76" s="9">
        <f t="shared" si="23"/>
        <v>0.00237142857142857</v>
      </c>
      <c r="Y76" s="9">
        <f t="shared" si="24"/>
        <v>0.0154285714285714</v>
      </c>
      <c r="Z76" s="9">
        <f t="shared" si="25"/>
        <v>0.0201333333333333</v>
      </c>
      <c r="AA76" s="9">
        <f t="shared" si="26"/>
        <v>0.01622</v>
      </c>
      <c r="AB76" s="9">
        <f t="shared" si="27"/>
        <v>0.124666666666667</v>
      </c>
      <c r="AC76" s="9">
        <f t="shared" si="28"/>
        <v>0.03695</v>
      </c>
      <c r="AD76" s="11">
        <f t="shared" si="29"/>
        <v>0.0402990714285714</v>
      </c>
    </row>
    <row r="77" spans="1:30">
      <c r="A77" s="2" t="s">
        <v>200</v>
      </c>
      <c r="B77" s="2">
        <v>57.8</v>
      </c>
      <c r="C77" s="2">
        <v>0.123</v>
      </c>
      <c r="D77" s="2">
        <v>19.6</v>
      </c>
      <c r="E77" s="2">
        <v>3.03</v>
      </c>
      <c r="F77" s="2">
        <v>0.239</v>
      </c>
      <c r="G77" s="2">
        <v>5.25</v>
      </c>
      <c r="H77" s="2">
        <v>2.13</v>
      </c>
      <c r="I77" s="2">
        <v>14.1</v>
      </c>
      <c r="J77" s="2">
        <v>0.979</v>
      </c>
      <c r="K77" s="2">
        <v>39.3</v>
      </c>
      <c r="L77" s="2">
        <v>0.031</v>
      </c>
      <c r="M77" s="2">
        <v>921</v>
      </c>
      <c r="N77" s="2">
        <v>323</v>
      </c>
      <c r="O77" s="2">
        <v>7.92</v>
      </c>
      <c r="P77" s="8">
        <f t="shared" si="15"/>
        <v>5.78</v>
      </c>
      <c r="Q77" s="9">
        <f t="shared" si="16"/>
        <v>0.0615</v>
      </c>
      <c r="R77" s="9">
        <f t="shared" si="17"/>
        <v>0.196</v>
      </c>
      <c r="S77" s="9">
        <f t="shared" si="18"/>
        <v>0.0606</v>
      </c>
      <c r="T77" s="9">
        <f t="shared" si="19"/>
        <v>0.00478</v>
      </c>
      <c r="U77" s="9">
        <f t="shared" si="20"/>
        <v>0.2625</v>
      </c>
      <c r="V77" s="9">
        <f t="shared" si="21"/>
        <v>0.00213</v>
      </c>
      <c r="W77" s="9">
        <f t="shared" si="22"/>
        <v>0.0141</v>
      </c>
      <c r="X77" s="9">
        <f t="shared" si="23"/>
        <v>0.0139857142857143</v>
      </c>
      <c r="Y77" s="9">
        <f t="shared" si="24"/>
        <v>0.0561428571428571</v>
      </c>
      <c r="Z77" s="9">
        <f t="shared" si="25"/>
        <v>0.00103333333333333</v>
      </c>
      <c r="AA77" s="9">
        <f t="shared" si="26"/>
        <v>1.842</v>
      </c>
      <c r="AB77" s="9">
        <f t="shared" si="27"/>
        <v>1.07666666666667</v>
      </c>
      <c r="AC77" s="9">
        <f t="shared" si="28"/>
        <v>0.0396</v>
      </c>
      <c r="AD77" s="11">
        <f t="shared" si="29"/>
        <v>0.672217040816326</v>
      </c>
    </row>
    <row r="78" spans="1:30">
      <c r="A78" s="2" t="s">
        <v>234</v>
      </c>
      <c r="B78" s="2">
        <v>10</v>
      </c>
      <c r="C78" s="2">
        <v>2</v>
      </c>
      <c r="D78" s="2">
        <v>100</v>
      </c>
      <c r="E78" s="2">
        <v>50</v>
      </c>
      <c r="F78" s="2">
        <v>50</v>
      </c>
      <c r="G78" s="2">
        <v>20</v>
      </c>
      <c r="H78" s="2">
        <v>1000</v>
      </c>
      <c r="I78" s="2">
        <v>1000</v>
      </c>
      <c r="J78" s="2">
        <v>70</v>
      </c>
      <c r="K78" s="2">
        <v>700</v>
      </c>
      <c r="L78" s="2">
        <v>30</v>
      </c>
      <c r="M78" s="2">
        <v>500</v>
      </c>
      <c r="N78" s="2">
        <v>300</v>
      </c>
      <c r="O78" s="2">
        <v>200</v>
      </c>
      <c r="P78" s="8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11"/>
    </row>
    <row r="79" s="4" customFormat="1" spans="1:1">
      <c r="A79" s="4" t="s">
        <v>235</v>
      </c>
    </row>
    <row r="80" s="5" customFormat="1" spans="1:1">
      <c r="A80" s="5" t="s">
        <v>236</v>
      </c>
    </row>
  </sheetData>
  <mergeCells count="6">
    <mergeCell ref="P1:AC1"/>
    <mergeCell ref="B3:O3"/>
    <mergeCell ref="A79:XFD79"/>
    <mergeCell ref="A80:XFD80"/>
    <mergeCell ref="A2:A3"/>
    <mergeCell ref="AD1:AD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8"/>
  <sheetViews>
    <sheetView topLeftCell="A55" workbookViewId="0">
      <selection activeCell="I85" sqref="I85"/>
    </sheetView>
  </sheetViews>
  <sheetFormatPr defaultColWidth="9" defaultRowHeight="14"/>
  <cols>
    <col min="2" max="2" width="10.3333333333333" customWidth="1"/>
    <col min="3" max="3" width="6.88333333333333" customWidth="1"/>
    <col min="7" max="7" width="5.44166666666667" customWidth="1"/>
    <col min="8" max="8" width="13.775" customWidth="1"/>
    <col min="9" max="9" width="6.21666666666667" customWidth="1"/>
    <col min="10" max="10" width="7.55833333333333" customWidth="1"/>
    <col min="12" max="13" width="7.10833333333333" customWidth="1"/>
    <col min="14" max="14" width="7.44166666666667" customWidth="1"/>
    <col min="15" max="15" width="8" customWidth="1"/>
    <col min="16" max="16" width="11.4416666666667" customWidth="1"/>
    <col min="17" max="17" width="8.10833333333333" customWidth="1"/>
    <col min="18" max="18" width="9" customWidth="1"/>
    <col min="19" max="19" width="6.66666666666667" customWidth="1"/>
    <col min="20" max="20" width="8.88333333333333" customWidth="1"/>
    <col min="21" max="21" width="8.33333333333333" customWidth="1"/>
    <col min="22" max="22" width="12.4416666666667" customWidth="1"/>
    <col min="23" max="23" width="6.775" customWidth="1"/>
    <col min="24" max="24" width="9.775" customWidth="1"/>
    <col min="25" max="25" width="7.775" customWidth="1"/>
  </cols>
  <sheetData>
    <row r="1" ht="14.5" spans="1:8">
      <c r="A1" s="1" t="s">
        <v>237</v>
      </c>
      <c r="B1" s="1"/>
      <c r="C1" s="1"/>
      <c r="D1" s="1"/>
      <c r="E1" s="1"/>
      <c r="F1" s="1"/>
      <c r="G1" s="1"/>
      <c r="H1" s="1"/>
    </row>
    <row r="2" spans="1:25">
      <c r="A2" s="2" t="s">
        <v>1</v>
      </c>
      <c r="B2" s="2" t="s">
        <v>238</v>
      </c>
      <c r="C2" s="2" t="s">
        <v>239</v>
      </c>
      <c r="D2" s="2" t="s">
        <v>240</v>
      </c>
      <c r="E2" s="2" t="s">
        <v>241</v>
      </c>
      <c r="F2" s="2" t="s">
        <v>242</v>
      </c>
      <c r="G2" s="2" t="s">
        <v>243</v>
      </c>
      <c r="H2" s="2" t="s">
        <v>244</v>
      </c>
      <c r="I2" s="2" t="s">
        <v>245</v>
      </c>
      <c r="J2" s="2" t="s">
        <v>246</v>
      </c>
      <c r="K2" s="2" t="s">
        <v>247</v>
      </c>
      <c r="L2" s="2" t="s">
        <v>248</v>
      </c>
      <c r="M2" s="2" t="s">
        <v>249</v>
      </c>
      <c r="N2" s="2" t="s">
        <v>250</v>
      </c>
      <c r="O2" s="2" t="s">
        <v>251</v>
      </c>
      <c r="P2" s="2" t="s">
        <v>252</v>
      </c>
      <c r="Q2" s="2" t="s">
        <v>253</v>
      </c>
      <c r="R2" s="2" t="s">
        <v>254</v>
      </c>
      <c r="S2" s="2" t="s">
        <v>255</v>
      </c>
      <c r="T2" s="2" t="s">
        <v>256</v>
      </c>
      <c r="U2" s="2" t="s">
        <v>257</v>
      </c>
      <c r="V2" s="2" t="s">
        <v>258</v>
      </c>
      <c r="W2" s="2" t="s">
        <v>259</v>
      </c>
      <c r="X2" s="2" t="s">
        <v>260</v>
      </c>
      <c r="Y2" s="2" t="s">
        <v>261</v>
      </c>
    </row>
    <row r="3" spans="1: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4.5" spans="1:25">
      <c r="A4" s="2" t="s">
        <v>25</v>
      </c>
      <c r="B4" s="3">
        <v>-23.32</v>
      </c>
      <c r="C4" s="3">
        <v>-9.67</v>
      </c>
      <c r="D4" s="3">
        <v>-2.33</v>
      </c>
      <c r="E4" s="3">
        <v>-7.88</v>
      </c>
      <c r="F4" s="3">
        <v>2.15</v>
      </c>
      <c r="G4" s="3">
        <v>0.18</v>
      </c>
      <c r="H4" s="3">
        <v>-16.61</v>
      </c>
      <c r="I4" s="3">
        <v>2.3</v>
      </c>
      <c r="J4" s="3">
        <v>-2.58</v>
      </c>
      <c r="K4" s="3">
        <v>3.8</v>
      </c>
      <c r="L4" s="3">
        <v>-3.13</v>
      </c>
      <c r="M4" s="3">
        <v>6.63</v>
      </c>
      <c r="N4" s="3">
        <v>-2.08</v>
      </c>
      <c r="O4" s="3">
        <v>-7.77</v>
      </c>
      <c r="P4" s="3">
        <v>22.58</v>
      </c>
      <c r="Q4" s="3">
        <v>15.2</v>
      </c>
      <c r="R4" s="3">
        <v>-8.22</v>
      </c>
      <c r="S4" s="3">
        <v>-8.94</v>
      </c>
      <c r="T4" s="3">
        <v>9.19</v>
      </c>
      <c r="U4" s="3">
        <v>7.27</v>
      </c>
      <c r="V4" s="3">
        <v>0.95</v>
      </c>
      <c r="W4" s="3">
        <v>-14.35</v>
      </c>
      <c r="X4" s="3">
        <v>0.63</v>
      </c>
      <c r="Y4" s="3">
        <v>-0.86</v>
      </c>
    </row>
    <row r="5" ht="14.5" spans="1:25">
      <c r="A5" s="2" t="s">
        <v>28</v>
      </c>
      <c r="B5" s="3">
        <v>-13.04</v>
      </c>
      <c r="C5" s="3">
        <v>-6.21</v>
      </c>
      <c r="D5" s="3">
        <v>-3.35</v>
      </c>
      <c r="E5" s="3">
        <v>-7.03</v>
      </c>
      <c r="F5" s="3">
        <v>0.32</v>
      </c>
      <c r="G5" s="3">
        <v>-1.99</v>
      </c>
      <c r="H5" s="3">
        <v>-4.82</v>
      </c>
      <c r="I5" s="3">
        <v>0.47</v>
      </c>
      <c r="J5" s="3">
        <v>-4.09</v>
      </c>
      <c r="K5" s="3">
        <v>0.73</v>
      </c>
      <c r="L5" s="3">
        <v>-1.07</v>
      </c>
      <c r="M5" s="3">
        <v>5.56</v>
      </c>
      <c r="N5" s="3">
        <v>-3.13</v>
      </c>
      <c r="O5" s="3">
        <v>-10.62</v>
      </c>
      <c r="P5" s="3">
        <v>-16.28</v>
      </c>
      <c r="Q5" s="3">
        <v>13.12</v>
      </c>
      <c r="R5" s="3">
        <v>-4.74</v>
      </c>
      <c r="S5" s="3">
        <v>-1.27</v>
      </c>
      <c r="T5" s="3">
        <v>-6.39</v>
      </c>
      <c r="U5" s="3">
        <v>-10.32</v>
      </c>
      <c r="V5" s="3">
        <v>-3.05</v>
      </c>
      <c r="W5" s="3">
        <v>-4.66</v>
      </c>
      <c r="X5" s="3">
        <v>-1.75</v>
      </c>
      <c r="Y5" s="3">
        <v>-3.71</v>
      </c>
    </row>
    <row r="6" ht="14.5" spans="1:25">
      <c r="A6" s="2" t="s">
        <v>32</v>
      </c>
      <c r="B6" s="3">
        <v>-23.47</v>
      </c>
      <c r="C6" s="3">
        <v>-9.62</v>
      </c>
      <c r="D6" s="3">
        <v>-2.45</v>
      </c>
      <c r="E6" s="3">
        <v>-7.95</v>
      </c>
      <c r="F6" s="3">
        <v>1.36</v>
      </c>
      <c r="G6" s="3">
        <v>-0.9</v>
      </c>
      <c r="H6" s="3">
        <v>-15.69</v>
      </c>
      <c r="I6" s="3">
        <v>1.5</v>
      </c>
      <c r="J6" s="3">
        <v>-3.07</v>
      </c>
      <c r="K6" s="3">
        <v>2.46</v>
      </c>
      <c r="L6" s="3">
        <v>-3.49</v>
      </c>
      <c r="M6" s="3">
        <v>5.17</v>
      </c>
      <c r="N6" s="3">
        <v>-2.24</v>
      </c>
      <c r="O6" s="3">
        <v>-9.16</v>
      </c>
      <c r="P6" s="3">
        <v>12.94</v>
      </c>
      <c r="Q6" s="3">
        <v>12.36</v>
      </c>
      <c r="R6" s="3">
        <v>-8.22</v>
      </c>
      <c r="S6" s="3">
        <v>-9.6</v>
      </c>
      <c r="T6" s="3">
        <v>4.45</v>
      </c>
      <c r="U6" s="3">
        <v>4.19</v>
      </c>
      <c r="V6" s="3">
        <v>-2.04</v>
      </c>
      <c r="W6" s="3">
        <v>-14.93</v>
      </c>
      <c r="X6" s="3">
        <v>-0.6</v>
      </c>
      <c r="Y6" s="3">
        <v>-2.46</v>
      </c>
    </row>
    <row r="7" ht="14.5" spans="1:25">
      <c r="A7" s="2" t="s">
        <v>35</v>
      </c>
      <c r="B7" s="3">
        <v>-26.26</v>
      </c>
      <c r="C7" s="3"/>
      <c r="D7" s="3">
        <v>-4.82</v>
      </c>
      <c r="E7" s="3"/>
      <c r="F7" s="3">
        <v>1.74</v>
      </c>
      <c r="G7" s="3">
        <v>-1.14</v>
      </c>
      <c r="H7" s="3"/>
      <c r="I7" s="3">
        <v>1.9</v>
      </c>
      <c r="J7" s="3">
        <v>-4.34</v>
      </c>
      <c r="K7" s="3">
        <v>2.93</v>
      </c>
      <c r="L7" s="3"/>
      <c r="M7" s="3">
        <v>6.43</v>
      </c>
      <c r="N7" s="3">
        <v>-4.56</v>
      </c>
      <c r="O7" s="3">
        <v>-7.46</v>
      </c>
      <c r="P7" s="3">
        <v>23.07</v>
      </c>
      <c r="Q7" s="3">
        <v>14.8</v>
      </c>
      <c r="R7" s="3"/>
      <c r="S7" s="3"/>
      <c r="T7" s="3">
        <v>9.45</v>
      </c>
      <c r="U7" s="3">
        <v>7.83</v>
      </c>
      <c r="V7" s="3">
        <v>0.56</v>
      </c>
      <c r="W7" s="3">
        <v>-15.21</v>
      </c>
      <c r="X7" s="3">
        <v>0.95</v>
      </c>
      <c r="Y7" s="3">
        <v>-0.1</v>
      </c>
    </row>
    <row r="8" ht="14.5" spans="1:25">
      <c r="A8" s="2" t="s">
        <v>38</v>
      </c>
      <c r="B8" s="3">
        <v>-9.68</v>
      </c>
      <c r="C8" s="3">
        <v>-5.03</v>
      </c>
      <c r="D8" s="3">
        <v>-3.15</v>
      </c>
      <c r="E8" s="3">
        <v>-10.52</v>
      </c>
      <c r="F8" s="3">
        <v>0.2</v>
      </c>
      <c r="G8" s="3">
        <v>-0.09</v>
      </c>
      <c r="H8" s="3">
        <v>-5.13</v>
      </c>
      <c r="I8" s="3">
        <v>0.34</v>
      </c>
      <c r="J8" s="3">
        <v>-3.13</v>
      </c>
      <c r="K8" s="3">
        <v>0.43</v>
      </c>
      <c r="L8" s="3">
        <v>-1.75</v>
      </c>
      <c r="M8" s="3">
        <v>4.13</v>
      </c>
      <c r="N8" s="3">
        <v>-2.91</v>
      </c>
      <c r="O8" s="3">
        <v>-7.84</v>
      </c>
      <c r="P8" s="3">
        <v>-27.61</v>
      </c>
      <c r="Q8" s="3">
        <v>10.25</v>
      </c>
      <c r="R8" s="3">
        <v>-3.81</v>
      </c>
      <c r="S8" s="3">
        <v>-1.74</v>
      </c>
      <c r="T8" s="3">
        <v>-10.24</v>
      </c>
      <c r="U8" s="3">
        <v>-16.61</v>
      </c>
      <c r="V8" s="3">
        <v>-2.84</v>
      </c>
      <c r="W8" s="3">
        <v>-1.72</v>
      </c>
      <c r="X8" s="3">
        <v>-1.1</v>
      </c>
      <c r="Y8" s="3">
        <v>-2.19</v>
      </c>
    </row>
    <row r="9" ht="14.5" spans="1:25">
      <c r="A9" s="2" t="s">
        <v>40</v>
      </c>
      <c r="B9" s="3"/>
      <c r="C9" s="3"/>
      <c r="D9" s="3">
        <v>-4.34</v>
      </c>
      <c r="E9" s="3"/>
      <c r="F9" s="3">
        <v>0.91</v>
      </c>
      <c r="G9" s="3">
        <v>-0.94</v>
      </c>
      <c r="H9" s="3"/>
      <c r="I9" s="3">
        <v>1.05</v>
      </c>
      <c r="J9" s="3">
        <v>-3.1</v>
      </c>
      <c r="K9" s="3">
        <v>2.21</v>
      </c>
      <c r="L9" s="3"/>
      <c r="M9" s="3"/>
      <c r="N9" s="3">
        <v>-4.15</v>
      </c>
      <c r="O9" s="3">
        <v>-7.19</v>
      </c>
      <c r="P9" s="3">
        <v>18.9</v>
      </c>
      <c r="Q9" s="3"/>
      <c r="R9" s="3"/>
      <c r="S9" s="3"/>
      <c r="T9" s="3">
        <v>6.19</v>
      </c>
      <c r="U9" s="3">
        <v>7.39</v>
      </c>
      <c r="V9" s="3">
        <v>-1.39</v>
      </c>
      <c r="W9" s="3"/>
      <c r="X9" s="3">
        <v>0.79</v>
      </c>
      <c r="Y9" s="3">
        <v>-0.99</v>
      </c>
    </row>
    <row r="10" ht="14.5" spans="1:25">
      <c r="A10" s="2" t="s">
        <v>42</v>
      </c>
      <c r="B10" s="3">
        <v>-24.83</v>
      </c>
      <c r="C10" s="3">
        <v>-8.6</v>
      </c>
      <c r="D10" s="3">
        <v>-2.74</v>
      </c>
      <c r="E10" s="3">
        <v>-7.72</v>
      </c>
      <c r="F10" s="3">
        <v>2.11</v>
      </c>
      <c r="G10" s="3">
        <v>-0.28</v>
      </c>
      <c r="H10" s="3">
        <v>-17.07</v>
      </c>
      <c r="I10" s="3">
        <v>2.25</v>
      </c>
      <c r="J10" s="3">
        <v>-2.62</v>
      </c>
      <c r="K10" s="3">
        <v>3.28</v>
      </c>
      <c r="L10" s="3">
        <v>-4.04</v>
      </c>
      <c r="M10" s="3">
        <v>5.66</v>
      </c>
      <c r="N10" s="3">
        <v>-2.59</v>
      </c>
      <c r="O10" s="3">
        <v>-7.91</v>
      </c>
      <c r="P10" s="3">
        <v>22.17</v>
      </c>
      <c r="Q10" s="3">
        <v>13.38</v>
      </c>
      <c r="R10" s="3">
        <v>-7.94</v>
      </c>
      <c r="S10" s="3">
        <v>-10.33</v>
      </c>
      <c r="T10" s="3">
        <v>6.63</v>
      </c>
      <c r="U10" s="3">
        <v>8.47</v>
      </c>
      <c r="V10" s="3">
        <v>0.19</v>
      </c>
      <c r="W10" s="3">
        <v>-15.06</v>
      </c>
      <c r="X10" s="3">
        <v>0.87</v>
      </c>
      <c r="Y10" s="3">
        <v>-0.64</v>
      </c>
    </row>
    <row r="11" ht="14.5" spans="1:25">
      <c r="A11" s="2" t="s">
        <v>44</v>
      </c>
      <c r="B11" s="3">
        <v>-25.51</v>
      </c>
      <c r="C11" s="3">
        <v>-8.48</v>
      </c>
      <c r="D11" s="3">
        <v>-3.1</v>
      </c>
      <c r="E11" s="3">
        <v>-7.14</v>
      </c>
      <c r="F11" s="3">
        <v>2.36</v>
      </c>
      <c r="G11" s="3">
        <v>-0.1</v>
      </c>
      <c r="H11" s="3">
        <v>-16.27</v>
      </c>
      <c r="I11" s="3">
        <v>2.51</v>
      </c>
      <c r="J11" s="3">
        <v>-2.85</v>
      </c>
      <c r="K11" s="3">
        <v>4.33</v>
      </c>
      <c r="L11" s="3">
        <v>-3.34</v>
      </c>
      <c r="M11" s="3">
        <v>6.02</v>
      </c>
      <c r="N11" s="3">
        <v>-2.85</v>
      </c>
      <c r="O11" s="3">
        <v>-8.14</v>
      </c>
      <c r="P11" s="3">
        <v>24.38</v>
      </c>
      <c r="Q11" s="3">
        <v>14</v>
      </c>
      <c r="R11" s="3">
        <v>-7.43</v>
      </c>
      <c r="S11" s="3">
        <v>-8.55</v>
      </c>
      <c r="T11" s="3">
        <v>9.43</v>
      </c>
      <c r="U11" s="3">
        <v>8.45</v>
      </c>
      <c r="V11" s="3">
        <v>0.94</v>
      </c>
      <c r="W11" s="3">
        <v>-15.5</v>
      </c>
      <c r="X11" s="3">
        <v>1.31</v>
      </c>
      <c r="Y11" s="3">
        <v>-0.13</v>
      </c>
    </row>
    <row r="12" ht="14.5" spans="1:25">
      <c r="A12" s="2" t="s">
        <v>47</v>
      </c>
      <c r="B12" s="3">
        <v>-24.83</v>
      </c>
      <c r="C12" s="3"/>
      <c r="D12" s="3">
        <v>-1.53</v>
      </c>
      <c r="E12" s="3"/>
      <c r="F12" s="3">
        <v>2.33</v>
      </c>
      <c r="G12" s="3">
        <v>0.39</v>
      </c>
      <c r="H12" s="3"/>
      <c r="I12" s="3">
        <v>2.48</v>
      </c>
      <c r="J12" s="3">
        <v>-1.63</v>
      </c>
      <c r="K12" s="3">
        <v>4.69</v>
      </c>
      <c r="L12" s="3">
        <v>-3.06</v>
      </c>
      <c r="M12" s="3">
        <v>4.94</v>
      </c>
      <c r="N12" s="3">
        <v>-1.28</v>
      </c>
      <c r="O12" s="3">
        <v>-8.54</v>
      </c>
      <c r="P12" s="3">
        <v>18.47</v>
      </c>
      <c r="Q12" s="3">
        <v>11.83</v>
      </c>
      <c r="R12" s="3"/>
      <c r="S12" s="3"/>
      <c r="T12" s="3">
        <v>7.59</v>
      </c>
      <c r="U12" s="3">
        <v>6.31</v>
      </c>
      <c r="V12" s="3">
        <v>-0.86</v>
      </c>
      <c r="W12" s="3">
        <v>-16.44</v>
      </c>
      <c r="X12" s="3">
        <v>0.94</v>
      </c>
      <c r="Y12" s="3">
        <v>-1.24</v>
      </c>
    </row>
    <row r="13" ht="14.5" spans="1:25">
      <c r="A13" s="2" t="s">
        <v>50</v>
      </c>
      <c r="B13" s="3">
        <v>-24.89</v>
      </c>
      <c r="C13" s="3">
        <v>-10.68</v>
      </c>
      <c r="D13" s="3">
        <v>-1.64</v>
      </c>
      <c r="E13" s="3">
        <v>-9.85</v>
      </c>
      <c r="F13" s="3">
        <v>1.48</v>
      </c>
      <c r="G13" s="3">
        <v>0.42</v>
      </c>
      <c r="H13" s="3">
        <v>-18.34</v>
      </c>
      <c r="I13" s="3">
        <v>1.63</v>
      </c>
      <c r="J13" s="3">
        <v>-0.99</v>
      </c>
      <c r="K13" s="3">
        <v>4.13</v>
      </c>
      <c r="L13" s="3">
        <v>-3.91</v>
      </c>
      <c r="M13" s="3">
        <v>3.69</v>
      </c>
      <c r="N13" s="3">
        <v>-1.4</v>
      </c>
      <c r="O13" s="3">
        <v>-9.21</v>
      </c>
      <c r="P13" s="3">
        <v>14.47</v>
      </c>
      <c r="Q13" s="3">
        <v>9.34</v>
      </c>
      <c r="R13" s="3">
        <v>-8.88</v>
      </c>
      <c r="S13" s="3">
        <v>-11.15</v>
      </c>
      <c r="T13" s="3">
        <v>6.09</v>
      </c>
      <c r="U13" s="3">
        <v>4.77</v>
      </c>
      <c r="V13" s="3">
        <v>-1.82</v>
      </c>
      <c r="W13" s="3">
        <v>-17.22</v>
      </c>
      <c r="X13" s="3">
        <v>0.84</v>
      </c>
      <c r="Y13" s="3">
        <v>-1.94</v>
      </c>
    </row>
    <row r="14" ht="14.5" spans="1:25">
      <c r="A14" s="2" t="s">
        <v>53</v>
      </c>
      <c r="B14" s="3">
        <v>-10.5</v>
      </c>
      <c r="C14" s="3">
        <v>-2.92</v>
      </c>
      <c r="D14" s="3">
        <v>-2.7</v>
      </c>
      <c r="E14" s="3">
        <v>-3.73</v>
      </c>
      <c r="F14" s="3">
        <v>1.02</v>
      </c>
      <c r="G14" s="3">
        <v>-1.14</v>
      </c>
      <c r="H14" s="3">
        <v>1.4</v>
      </c>
      <c r="I14" s="3">
        <v>1.17</v>
      </c>
      <c r="J14" s="3">
        <v>-3.72</v>
      </c>
      <c r="K14" s="3">
        <v>1.47</v>
      </c>
      <c r="L14" s="3">
        <v>0.93</v>
      </c>
      <c r="M14" s="3">
        <v>5.32</v>
      </c>
      <c r="N14" s="3">
        <v>-2.44</v>
      </c>
      <c r="O14" s="3">
        <v>-9.22</v>
      </c>
      <c r="P14" s="3">
        <v>-22.86</v>
      </c>
      <c r="Q14" s="3">
        <v>12.6</v>
      </c>
      <c r="R14" s="3">
        <v>-1.52</v>
      </c>
      <c r="S14" s="3">
        <v>5.87</v>
      </c>
      <c r="T14" s="3">
        <v>-7.78</v>
      </c>
      <c r="U14" s="3">
        <v>-14.33</v>
      </c>
      <c r="V14" s="3">
        <v>-2.51</v>
      </c>
      <c r="W14" s="3">
        <v>-2.27</v>
      </c>
      <c r="X14" s="3">
        <v>-1.29</v>
      </c>
      <c r="Y14" s="3">
        <v>-2.93</v>
      </c>
    </row>
    <row r="15" ht="14.5" spans="1:25">
      <c r="A15" s="2" t="s">
        <v>55</v>
      </c>
      <c r="B15" s="3">
        <v>-25.57</v>
      </c>
      <c r="C15" s="3"/>
      <c r="D15" s="3">
        <v>-2.95</v>
      </c>
      <c r="E15" s="3"/>
      <c r="F15" s="3">
        <v>1.62</v>
      </c>
      <c r="G15" s="3">
        <v>-0.02</v>
      </c>
      <c r="H15" s="3"/>
      <c r="I15" s="3">
        <v>1.75</v>
      </c>
      <c r="J15" s="3">
        <v>-2.56</v>
      </c>
      <c r="K15" s="3">
        <v>2.87</v>
      </c>
      <c r="L15" s="3"/>
      <c r="M15" s="3">
        <v>4.44</v>
      </c>
      <c r="N15" s="3">
        <v>-2.9</v>
      </c>
      <c r="O15" s="3">
        <v>-7.69</v>
      </c>
      <c r="P15" s="3">
        <v>20.95</v>
      </c>
      <c r="Q15" s="3">
        <v>11</v>
      </c>
      <c r="R15" s="3"/>
      <c r="S15" s="3"/>
      <c r="T15" s="3">
        <v>5.11</v>
      </c>
      <c r="U15" s="3">
        <v>8.53</v>
      </c>
      <c r="V15" s="3">
        <v>-0.24</v>
      </c>
      <c r="W15" s="3">
        <v>-15.88</v>
      </c>
      <c r="X15" s="3">
        <v>0.66</v>
      </c>
      <c r="Y15" s="3">
        <v>-0.48</v>
      </c>
    </row>
    <row r="16" ht="14.5" spans="1:25">
      <c r="A16" s="2" t="s">
        <v>57</v>
      </c>
      <c r="B16" s="3"/>
      <c r="C16" s="3"/>
      <c r="D16" s="3">
        <v>-4.05</v>
      </c>
      <c r="E16" s="3"/>
      <c r="F16" s="3">
        <v>-0.04</v>
      </c>
      <c r="G16" s="3">
        <v>-1.33</v>
      </c>
      <c r="H16" s="3"/>
      <c r="I16" s="3">
        <v>0.09</v>
      </c>
      <c r="J16" s="3">
        <v>-3.3</v>
      </c>
      <c r="K16" s="3">
        <v>0.99</v>
      </c>
      <c r="L16" s="3"/>
      <c r="M16" s="3"/>
      <c r="N16" s="3">
        <v>-3.99</v>
      </c>
      <c r="O16" s="3">
        <v>-7.54</v>
      </c>
      <c r="P16" s="3">
        <v>-11.2</v>
      </c>
      <c r="Q16" s="3"/>
      <c r="R16" s="3"/>
      <c r="S16" s="3"/>
      <c r="T16" s="3">
        <v>-6.85</v>
      </c>
      <c r="U16" s="3">
        <v>-7.45</v>
      </c>
      <c r="V16" s="3">
        <v>-1.59</v>
      </c>
      <c r="W16" s="3"/>
      <c r="X16" s="3">
        <v>-0.63</v>
      </c>
      <c r="Y16" s="3">
        <v>-2.35</v>
      </c>
    </row>
    <row r="17" ht="14.5" spans="1:25">
      <c r="A17" s="2" t="s">
        <v>59</v>
      </c>
      <c r="B17" s="3"/>
      <c r="C17" s="3"/>
      <c r="D17" s="3">
        <v>-4.06</v>
      </c>
      <c r="E17" s="3"/>
      <c r="F17" s="3">
        <v>-0.55</v>
      </c>
      <c r="G17" s="3">
        <v>-1.15</v>
      </c>
      <c r="H17" s="3"/>
      <c r="I17" s="3">
        <v>-0.42</v>
      </c>
      <c r="J17" s="3">
        <v>-3.27</v>
      </c>
      <c r="K17" s="3">
        <v>0.27</v>
      </c>
      <c r="L17" s="3"/>
      <c r="M17" s="3"/>
      <c r="N17" s="3">
        <v>-3.89</v>
      </c>
      <c r="O17" s="3">
        <v>-7.03</v>
      </c>
      <c r="P17" s="3">
        <v>-17.21</v>
      </c>
      <c r="Q17" s="3"/>
      <c r="R17" s="3"/>
      <c r="S17" s="3"/>
      <c r="T17" s="3">
        <v>-7.92</v>
      </c>
      <c r="U17" s="3">
        <v>-10.96</v>
      </c>
      <c r="V17" s="3">
        <v>-1.88</v>
      </c>
      <c r="W17" s="3"/>
      <c r="X17" s="3">
        <v>-1.13</v>
      </c>
      <c r="Y17" s="3">
        <v>-2.89</v>
      </c>
    </row>
    <row r="18" ht="14.5" spans="1:25">
      <c r="A18" s="2" t="s">
        <v>61</v>
      </c>
      <c r="B18" s="3"/>
      <c r="C18" s="3"/>
      <c r="D18" s="3">
        <v>-3.91</v>
      </c>
      <c r="E18" s="3"/>
      <c r="F18" s="3">
        <v>0.51</v>
      </c>
      <c r="G18" s="3"/>
      <c r="H18" s="3"/>
      <c r="I18" s="3">
        <v>0.64</v>
      </c>
      <c r="J18" s="3">
        <v>-3.34</v>
      </c>
      <c r="K18" s="3">
        <v>2.02</v>
      </c>
      <c r="L18" s="3"/>
      <c r="M18" s="3"/>
      <c r="N18" s="3">
        <v>-3.88</v>
      </c>
      <c r="O18" s="3">
        <v>-7.65</v>
      </c>
      <c r="P18" s="3">
        <v>-6.88</v>
      </c>
      <c r="Q18" s="3"/>
      <c r="R18" s="3"/>
      <c r="S18" s="3"/>
      <c r="T18" s="3">
        <v>-5.45</v>
      </c>
      <c r="U18" s="3">
        <v>-5</v>
      </c>
      <c r="V18" s="3">
        <v>-1.37</v>
      </c>
      <c r="W18" s="3"/>
      <c r="X18" s="3">
        <v>-0.25</v>
      </c>
      <c r="Y18" s="3"/>
    </row>
    <row r="19" ht="14.5" spans="1:25">
      <c r="A19" s="2" t="s">
        <v>63</v>
      </c>
      <c r="B19" s="3">
        <v>-28.08</v>
      </c>
      <c r="C19" s="3">
        <v>-7.71</v>
      </c>
      <c r="D19" s="3">
        <v>-3.9</v>
      </c>
      <c r="E19" s="3">
        <v>-7.76</v>
      </c>
      <c r="F19" s="3">
        <v>2.03</v>
      </c>
      <c r="G19" s="3">
        <v>-1.15</v>
      </c>
      <c r="H19" s="3">
        <v>-16.92</v>
      </c>
      <c r="I19" s="3">
        <v>2.16</v>
      </c>
      <c r="J19" s="3">
        <v>-3.37</v>
      </c>
      <c r="K19" s="3">
        <v>3.35</v>
      </c>
      <c r="L19" s="3">
        <v>-4.39</v>
      </c>
      <c r="M19" s="3">
        <v>3.73</v>
      </c>
      <c r="N19" s="3">
        <v>-3.78</v>
      </c>
      <c r="O19" s="3">
        <v>-6.95</v>
      </c>
      <c r="P19" s="3">
        <v>22.57</v>
      </c>
      <c r="Q19" s="3">
        <v>9.54</v>
      </c>
      <c r="R19" s="3">
        <v>-7.29</v>
      </c>
      <c r="S19" s="3">
        <v>-10.36</v>
      </c>
      <c r="T19" s="3">
        <v>6.45</v>
      </c>
      <c r="U19" s="3">
        <v>8.99</v>
      </c>
      <c r="V19" s="3">
        <v>0.07</v>
      </c>
      <c r="W19" s="3">
        <v>-17.16</v>
      </c>
      <c r="X19" s="3">
        <v>1.19</v>
      </c>
      <c r="Y19" s="3">
        <v>-0.38</v>
      </c>
    </row>
    <row r="20" ht="14.5" spans="1:25">
      <c r="A20" s="2" t="s">
        <v>65</v>
      </c>
      <c r="B20" s="3">
        <v>-10.27</v>
      </c>
      <c r="C20" s="3">
        <v>-2.48</v>
      </c>
      <c r="D20" s="3">
        <v>-2.62</v>
      </c>
      <c r="E20" s="3">
        <v>-3.65</v>
      </c>
      <c r="F20" s="3">
        <v>0.72</v>
      </c>
      <c r="G20" s="3">
        <v>-0.28</v>
      </c>
      <c r="H20" s="3">
        <v>-0.2</v>
      </c>
      <c r="I20" s="3">
        <v>0.85</v>
      </c>
      <c r="J20" s="3">
        <v>-2.69</v>
      </c>
      <c r="K20" s="3">
        <v>1.68</v>
      </c>
      <c r="L20" s="3">
        <v>0.04</v>
      </c>
      <c r="M20" s="3">
        <v>6.31</v>
      </c>
      <c r="N20" s="3">
        <v>-2.52</v>
      </c>
      <c r="O20" s="3">
        <v>-8.11</v>
      </c>
      <c r="P20" s="3">
        <v>-10.44</v>
      </c>
      <c r="Q20" s="3">
        <v>14.72</v>
      </c>
      <c r="R20" s="3">
        <v>-1.22</v>
      </c>
      <c r="S20" s="3">
        <v>4.6</v>
      </c>
      <c r="T20" s="3">
        <v>-6.37</v>
      </c>
      <c r="U20" s="3">
        <v>-8.32</v>
      </c>
      <c r="V20" s="3">
        <v>0.06</v>
      </c>
      <c r="W20" s="3">
        <v>-1.9</v>
      </c>
      <c r="X20" s="3">
        <v>-0.7</v>
      </c>
      <c r="Y20" s="3">
        <v>-2.05</v>
      </c>
    </row>
    <row r="21" ht="14.5" spans="1:25">
      <c r="A21" s="2" t="s">
        <v>67</v>
      </c>
      <c r="B21" s="3"/>
      <c r="C21" s="3"/>
      <c r="D21" s="3">
        <v>-4.07</v>
      </c>
      <c r="E21" s="3"/>
      <c r="F21" s="3">
        <v>1.43</v>
      </c>
      <c r="G21" s="3">
        <v>-2.58</v>
      </c>
      <c r="H21" s="3"/>
      <c r="I21" s="3">
        <v>1.54</v>
      </c>
      <c r="J21" s="3">
        <v>-5.09</v>
      </c>
      <c r="K21" s="3">
        <v>3.96</v>
      </c>
      <c r="L21" s="3"/>
      <c r="M21" s="3"/>
      <c r="N21" s="3">
        <v>-4.22</v>
      </c>
      <c r="O21" s="3">
        <v>-7.12</v>
      </c>
      <c r="P21" s="3">
        <v>3.37</v>
      </c>
      <c r="Q21" s="3"/>
      <c r="R21" s="3"/>
      <c r="S21" s="3"/>
      <c r="T21" s="3">
        <v>-2.83</v>
      </c>
      <c r="U21" s="3">
        <v>1.09</v>
      </c>
      <c r="V21" s="3">
        <v>-1.21</v>
      </c>
      <c r="W21" s="3"/>
      <c r="X21" s="3">
        <v>-0.83</v>
      </c>
      <c r="Y21" s="3">
        <v>-1.79</v>
      </c>
    </row>
    <row r="22" ht="14.5" spans="1:25">
      <c r="A22" s="2" t="s">
        <v>69</v>
      </c>
      <c r="B22" s="3">
        <v>-23.93</v>
      </c>
      <c r="C22" s="3">
        <v>-6.03</v>
      </c>
      <c r="D22" s="3">
        <v>-3.43</v>
      </c>
      <c r="E22" s="3">
        <v>-4.8</v>
      </c>
      <c r="F22" s="3">
        <v>2.12</v>
      </c>
      <c r="G22" s="3">
        <v>-0.9</v>
      </c>
      <c r="H22" s="3">
        <v>-11.77</v>
      </c>
      <c r="I22" s="3">
        <v>2.25</v>
      </c>
      <c r="J22" s="3">
        <v>-3.71</v>
      </c>
      <c r="K22" s="3">
        <v>4.21</v>
      </c>
      <c r="L22" s="3">
        <v>-2.91</v>
      </c>
      <c r="M22" s="3">
        <v>6.17</v>
      </c>
      <c r="N22" s="3">
        <v>-3.26</v>
      </c>
      <c r="O22" s="3">
        <v>-8.34</v>
      </c>
      <c r="P22" s="3">
        <v>20.28</v>
      </c>
      <c r="Q22" s="3">
        <v>14.39</v>
      </c>
      <c r="R22" s="3">
        <v>-4.53</v>
      </c>
      <c r="S22" s="3">
        <v>-4.7</v>
      </c>
      <c r="T22" s="3">
        <v>6.21</v>
      </c>
      <c r="U22" s="3">
        <v>7.21</v>
      </c>
      <c r="V22" s="3">
        <v>0.59</v>
      </c>
      <c r="W22" s="3">
        <v>-13.53</v>
      </c>
      <c r="X22" s="3">
        <v>0.48</v>
      </c>
      <c r="Y22" s="3">
        <v>-0.61</v>
      </c>
    </row>
    <row r="23" ht="14.5" spans="1:25">
      <c r="A23" s="2" t="s">
        <v>71</v>
      </c>
      <c r="B23" s="3">
        <v>-26.87</v>
      </c>
      <c r="C23" s="3">
        <v>-8.8</v>
      </c>
      <c r="D23" s="3">
        <v>-3.96</v>
      </c>
      <c r="E23" s="3">
        <v>-8.33</v>
      </c>
      <c r="F23" s="3">
        <v>1.94</v>
      </c>
      <c r="G23" s="3">
        <v>-1.28</v>
      </c>
      <c r="H23" s="3">
        <v>-18.09</v>
      </c>
      <c r="I23" s="3">
        <v>2.07</v>
      </c>
      <c r="J23" s="3">
        <v>-3.59</v>
      </c>
      <c r="K23" s="3">
        <v>3.37</v>
      </c>
      <c r="L23" s="3">
        <v>-4.72</v>
      </c>
      <c r="M23" s="3">
        <v>4.86</v>
      </c>
      <c r="N23" s="3">
        <v>-3.93</v>
      </c>
      <c r="O23" s="3">
        <v>-6.74</v>
      </c>
      <c r="P23" s="3">
        <v>21.96</v>
      </c>
      <c r="Q23" s="3">
        <v>11.85</v>
      </c>
      <c r="R23" s="3">
        <v>-7.54</v>
      </c>
      <c r="S23" s="3">
        <v>-11.2</v>
      </c>
      <c r="T23" s="3">
        <v>5.32</v>
      </c>
      <c r="U23" s="3">
        <v>9.04</v>
      </c>
      <c r="V23" s="3">
        <v>-0.28</v>
      </c>
      <c r="W23" s="3">
        <v>-15.8</v>
      </c>
      <c r="X23" s="3">
        <v>0.98</v>
      </c>
      <c r="Y23" s="3">
        <v>-0.36</v>
      </c>
    </row>
    <row r="24" ht="14.5" spans="1:25">
      <c r="A24" s="2" t="s">
        <v>73</v>
      </c>
      <c r="B24" s="3">
        <v>-24.76</v>
      </c>
      <c r="C24" s="3">
        <v>-6.58</v>
      </c>
      <c r="D24" s="3">
        <v>-3.68</v>
      </c>
      <c r="E24" s="3">
        <v>-6.89</v>
      </c>
      <c r="F24" s="3">
        <v>1.77</v>
      </c>
      <c r="G24" s="3">
        <v>-2.12</v>
      </c>
      <c r="H24" s="3">
        <v>-14.38</v>
      </c>
      <c r="I24" s="3">
        <v>1.89</v>
      </c>
      <c r="J24" s="3">
        <v>-3.21</v>
      </c>
      <c r="K24" s="3">
        <v>2.29</v>
      </c>
      <c r="L24" s="3">
        <v>-4.47</v>
      </c>
      <c r="M24" s="3">
        <v>4.92</v>
      </c>
      <c r="N24" s="3">
        <v>-3.81</v>
      </c>
      <c r="O24" s="3">
        <v>-6.77</v>
      </c>
      <c r="P24" s="3">
        <v>19.9</v>
      </c>
      <c r="Q24" s="3">
        <v>12.03</v>
      </c>
      <c r="R24" s="3">
        <v>-5.81</v>
      </c>
      <c r="S24" s="3">
        <v>-8.84</v>
      </c>
      <c r="T24" s="3">
        <v>3.18</v>
      </c>
      <c r="U24" s="3">
        <v>8.33</v>
      </c>
      <c r="V24" s="3">
        <v>0.24</v>
      </c>
      <c r="W24" s="3">
        <v>-13.9</v>
      </c>
      <c r="X24" s="3">
        <v>0.99</v>
      </c>
      <c r="Y24" s="3">
        <v>-1.39</v>
      </c>
    </row>
    <row r="25" ht="14.5" spans="1:25">
      <c r="A25" s="2" t="s">
        <v>75</v>
      </c>
      <c r="B25" s="3">
        <v>-8.98</v>
      </c>
      <c r="C25" s="3">
        <v>-1.19</v>
      </c>
      <c r="D25" s="3">
        <v>-4.02</v>
      </c>
      <c r="E25" s="3">
        <v>-2.79</v>
      </c>
      <c r="F25" s="3">
        <v>-0.2</v>
      </c>
      <c r="G25" s="3">
        <v>-1.61</v>
      </c>
      <c r="H25" s="3">
        <v>1.92</v>
      </c>
      <c r="I25" s="3">
        <v>-0.07</v>
      </c>
      <c r="J25" s="3">
        <v>-3.93</v>
      </c>
      <c r="K25" s="3">
        <v>-0.58</v>
      </c>
      <c r="L25" s="3">
        <v>0.64</v>
      </c>
      <c r="M25" s="3">
        <v>7.72</v>
      </c>
      <c r="N25" s="3">
        <v>-3.96</v>
      </c>
      <c r="O25" s="3">
        <v>-6.81</v>
      </c>
      <c r="P25" s="3">
        <v>-11.8</v>
      </c>
      <c r="Q25" s="3">
        <v>17.55</v>
      </c>
      <c r="R25" s="3">
        <v>-0.26</v>
      </c>
      <c r="S25" s="3">
        <v>6.79</v>
      </c>
      <c r="T25" s="3">
        <v>-7.38</v>
      </c>
      <c r="U25" s="3">
        <v>-8.94</v>
      </c>
      <c r="V25" s="3">
        <v>-0.21</v>
      </c>
      <c r="W25" s="3">
        <v>-0.04</v>
      </c>
      <c r="X25" s="3">
        <v>-1.46</v>
      </c>
      <c r="Y25" s="3">
        <v>-2.82</v>
      </c>
    </row>
    <row r="26" ht="14.5" spans="1:25">
      <c r="A26" s="2" t="s">
        <v>77</v>
      </c>
      <c r="B26" s="3">
        <v>-23.11</v>
      </c>
      <c r="C26" s="3">
        <v>-5.8</v>
      </c>
      <c r="D26" s="3">
        <v>-4.1</v>
      </c>
      <c r="E26" s="3">
        <v>-6.21</v>
      </c>
      <c r="F26" s="3">
        <v>0.99</v>
      </c>
      <c r="G26" s="3">
        <v>-2.64</v>
      </c>
      <c r="H26" s="3">
        <v>-11.23</v>
      </c>
      <c r="I26" s="3">
        <v>1.13</v>
      </c>
      <c r="J26" s="3">
        <v>-3.59</v>
      </c>
      <c r="K26" s="3">
        <v>1.5</v>
      </c>
      <c r="L26" s="3">
        <v>-2.77</v>
      </c>
      <c r="M26" s="3">
        <v>4.93</v>
      </c>
      <c r="N26" s="3">
        <v>-3.97</v>
      </c>
      <c r="O26" s="3">
        <v>-7.52</v>
      </c>
      <c r="P26" s="3">
        <v>12.21</v>
      </c>
      <c r="Q26" s="3">
        <v>11.94</v>
      </c>
      <c r="R26" s="3">
        <v>-5.38</v>
      </c>
      <c r="S26" s="3">
        <v>-5.21</v>
      </c>
      <c r="T26" s="3">
        <v>2.8</v>
      </c>
      <c r="U26" s="3">
        <v>4.12</v>
      </c>
      <c r="V26" s="3">
        <v>-0.77</v>
      </c>
      <c r="W26" s="3">
        <v>-13.06</v>
      </c>
      <c r="X26" s="3">
        <v>0.14</v>
      </c>
      <c r="Y26" s="3">
        <v>-2.72</v>
      </c>
    </row>
    <row r="27" ht="14.5" spans="1:25">
      <c r="A27" s="2" t="s">
        <v>79</v>
      </c>
      <c r="B27" s="3">
        <v>-10.52</v>
      </c>
      <c r="C27" s="3">
        <v>-2.03</v>
      </c>
      <c r="D27" s="3">
        <v>-3.26</v>
      </c>
      <c r="E27" s="3">
        <v>-3.73</v>
      </c>
      <c r="F27" s="3">
        <v>0.72</v>
      </c>
      <c r="G27" s="3">
        <v>-1.41</v>
      </c>
      <c r="H27" s="3">
        <v>-1.14</v>
      </c>
      <c r="I27" s="3">
        <v>0.85</v>
      </c>
      <c r="J27" s="3">
        <v>-3.59</v>
      </c>
      <c r="K27" s="3">
        <v>1.39</v>
      </c>
      <c r="L27" s="3">
        <v>-0.61</v>
      </c>
      <c r="M27" s="3">
        <v>7.62</v>
      </c>
      <c r="N27" s="3">
        <v>-3.29</v>
      </c>
      <c r="O27" s="3">
        <v>-6.45</v>
      </c>
      <c r="P27" s="3">
        <v>-6.97</v>
      </c>
      <c r="Q27" s="3">
        <v>17.39</v>
      </c>
      <c r="R27" s="3">
        <v>-1.06</v>
      </c>
      <c r="S27" s="3">
        <v>3.55</v>
      </c>
      <c r="T27" s="3">
        <v>-6.3</v>
      </c>
      <c r="U27" s="3">
        <v>-6.09</v>
      </c>
      <c r="V27" s="3">
        <v>0.21</v>
      </c>
      <c r="W27" s="3">
        <v>-1.27</v>
      </c>
      <c r="X27" s="3">
        <v>-0.91</v>
      </c>
      <c r="Y27" s="3">
        <v>-2.31</v>
      </c>
    </row>
    <row r="28" ht="14.5" spans="1:25">
      <c r="A28" s="2" t="s">
        <v>81</v>
      </c>
      <c r="B28" s="3">
        <v>-12.38</v>
      </c>
      <c r="C28" s="3"/>
      <c r="D28" s="3">
        <v>-2.8</v>
      </c>
      <c r="E28" s="3"/>
      <c r="F28" s="3">
        <v>0.14</v>
      </c>
      <c r="G28" s="3">
        <v>-1.27</v>
      </c>
      <c r="H28" s="3"/>
      <c r="I28" s="3">
        <v>0.26</v>
      </c>
      <c r="J28" s="3">
        <v>-7.19</v>
      </c>
      <c r="K28" s="3">
        <v>-0.16</v>
      </c>
      <c r="L28" s="3"/>
      <c r="M28" s="3">
        <v>5.95</v>
      </c>
      <c r="N28" s="3">
        <v>-2.91</v>
      </c>
      <c r="O28" s="3">
        <v>-6.91</v>
      </c>
      <c r="P28" s="3">
        <v>-3.65</v>
      </c>
      <c r="Q28" s="3">
        <v>14.09</v>
      </c>
      <c r="R28" s="3"/>
      <c r="S28" s="3"/>
      <c r="T28" s="3">
        <v>-5.62</v>
      </c>
      <c r="U28" s="3">
        <v>-4.25</v>
      </c>
      <c r="V28" s="3">
        <v>0.11</v>
      </c>
      <c r="W28" s="3">
        <v>-4.06</v>
      </c>
      <c r="X28" s="3">
        <v>-5.51</v>
      </c>
      <c r="Y28" s="3">
        <v>-3.09</v>
      </c>
    </row>
    <row r="29" ht="14.5" spans="1:25">
      <c r="A29" s="2" t="s">
        <v>83</v>
      </c>
      <c r="B29" s="3">
        <v>-25.79</v>
      </c>
      <c r="C29" s="3">
        <v>-7.59</v>
      </c>
      <c r="D29" s="3">
        <v>-3.47</v>
      </c>
      <c r="E29" s="3">
        <v>-7.33</v>
      </c>
      <c r="F29" s="3">
        <v>1.15</v>
      </c>
      <c r="G29" s="3">
        <v>-1.46</v>
      </c>
      <c r="H29" s="3">
        <v>-16.31</v>
      </c>
      <c r="I29" s="3">
        <v>1.27</v>
      </c>
      <c r="J29" s="3">
        <v>-3.57</v>
      </c>
      <c r="K29" s="3">
        <v>1.43</v>
      </c>
      <c r="L29" s="3">
        <v>-4.65</v>
      </c>
      <c r="M29" s="3">
        <v>5.18</v>
      </c>
      <c r="N29" s="3">
        <v>-3.48</v>
      </c>
      <c r="O29" s="3">
        <v>-6.19</v>
      </c>
      <c r="P29" s="3">
        <v>21.9</v>
      </c>
      <c r="Q29" s="3">
        <v>12.51</v>
      </c>
      <c r="R29" s="3">
        <v>-6.63</v>
      </c>
      <c r="S29" s="3">
        <v>-10.12</v>
      </c>
      <c r="T29" s="3">
        <v>4.92</v>
      </c>
      <c r="U29" s="3">
        <v>9.03</v>
      </c>
      <c r="V29" s="3">
        <v>-0.94</v>
      </c>
      <c r="W29" s="3">
        <v>-15.95</v>
      </c>
      <c r="X29" s="3">
        <v>-0.27</v>
      </c>
      <c r="Y29" s="3">
        <v>-1.77</v>
      </c>
    </row>
    <row r="30" ht="14.5" spans="1:25">
      <c r="A30" s="2" t="s">
        <v>85</v>
      </c>
      <c r="B30" s="3">
        <v>-9.32</v>
      </c>
      <c r="C30" s="3">
        <v>-2</v>
      </c>
      <c r="D30" s="3">
        <v>-3.54</v>
      </c>
      <c r="E30" s="3">
        <v>-3.85</v>
      </c>
      <c r="F30" s="3">
        <v>0.57</v>
      </c>
      <c r="G30" s="3">
        <v>-1.72</v>
      </c>
      <c r="H30" s="3">
        <v>-0.51</v>
      </c>
      <c r="I30" s="3">
        <v>0.7</v>
      </c>
      <c r="J30" s="3">
        <v>-4.23</v>
      </c>
      <c r="K30" s="3">
        <v>1.24</v>
      </c>
      <c r="L30" s="3">
        <v>-0.33</v>
      </c>
      <c r="M30" s="3">
        <v>8.18</v>
      </c>
      <c r="N30" s="3">
        <v>-3.52</v>
      </c>
      <c r="O30" s="3">
        <v>-6.5</v>
      </c>
      <c r="P30" s="3">
        <v>-10.31</v>
      </c>
      <c r="Q30" s="3">
        <v>18.49</v>
      </c>
      <c r="R30" s="3">
        <v>-1.02</v>
      </c>
      <c r="S30" s="3">
        <v>4.11</v>
      </c>
      <c r="T30" s="3">
        <v>-7.1</v>
      </c>
      <c r="U30" s="3">
        <v>-7.84</v>
      </c>
      <c r="V30" s="3">
        <v>-0.17</v>
      </c>
      <c r="W30" s="3">
        <v>-0.03</v>
      </c>
      <c r="X30" s="3">
        <v>-1.45</v>
      </c>
      <c r="Y30" s="3">
        <v>-2.57</v>
      </c>
    </row>
    <row r="31" ht="14.5" spans="1:25">
      <c r="A31" s="2" t="s">
        <v>87</v>
      </c>
      <c r="B31" s="3">
        <v>-25.25</v>
      </c>
      <c r="C31" s="3">
        <v>-7.56</v>
      </c>
      <c r="D31" s="3">
        <v>-1.53</v>
      </c>
      <c r="E31" s="3">
        <v>-5.84</v>
      </c>
      <c r="F31" s="3">
        <v>2.24</v>
      </c>
      <c r="G31" s="3">
        <v>0.11</v>
      </c>
      <c r="H31" s="3">
        <v>-14.27</v>
      </c>
      <c r="I31" s="3">
        <v>2.37</v>
      </c>
      <c r="J31" s="3">
        <v>-1.83</v>
      </c>
      <c r="K31" s="3">
        <v>4.02</v>
      </c>
      <c r="L31" s="3">
        <v>-3.44</v>
      </c>
      <c r="M31" s="3">
        <v>3.57</v>
      </c>
      <c r="N31" s="3">
        <v>-1.4</v>
      </c>
      <c r="O31" s="3">
        <v>-7.03</v>
      </c>
      <c r="P31" s="3">
        <v>19.89</v>
      </c>
      <c r="Q31" s="3">
        <v>9.22</v>
      </c>
      <c r="R31" s="3">
        <v>-6.18</v>
      </c>
      <c r="S31" s="3">
        <v>-7.36</v>
      </c>
      <c r="T31" s="3">
        <v>5.51</v>
      </c>
      <c r="U31" s="3">
        <v>7.51</v>
      </c>
      <c r="V31" s="3">
        <v>-0.12</v>
      </c>
      <c r="W31" s="3">
        <v>-16.51</v>
      </c>
      <c r="X31" s="3">
        <v>0.58</v>
      </c>
      <c r="Y31" s="3">
        <v>-1.28</v>
      </c>
    </row>
    <row r="32" ht="14.5" spans="1:25">
      <c r="A32" s="2" t="s">
        <v>89</v>
      </c>
      <c r="B32" s="3">
        <v>-26.25</v>
      </c>
      <c r="C32" s="3">
        <v>-7.45</v>
      </c>
      <c r="D32" s="3">
        <v>-4.09</v>
      </c>
      <c r="E32" s="3">
        <v>-7.63</v>
      </c>
      <c r="F32" s="3">
        <v>1.6</v>
      </c>
      <c r="G32" s="3">
        <v>-1.39</v>
      </c>
      <c r="H32" s="3">
        <v>-16.13</v>
      </c>
      <c r="I32" s="3">
        <v>1.71</v>
      </c>
      <c r="J32" s="3">
        <v>-3.76</v>
      </c>
      <c r="K32" s="3">
        <v>3.17</v>
      </c>
      <c r="L32" s="3">
        <v>-4.63</v>
      </c>
      <c r="M32" s="3">
        <v>4.46</v>
      </c>
      <c r="N32" s="3">
        <v>-4.23</v>
      </c>
      <c r="O32" s="3">
        <v>-5.68</v>
      </c>
      <c r="P32" s="3">
        <v>17.91</v>
      </c>
      <c r="Q32" s="3">
        <v>11.12</v>
      </c>
      <c r="R32" s="3">
        <v>-6.56</v>
      </c>
      <c r="S32" s="3">
        <v>-9.91</v>
      </c>
      <c r="T32" s="3">
        <v>2.59</v>
      </c>
      <c r="U32" s="3">
        <v>7.99</v>
      </c>
      <c r="V32" s="3">
        <v>-1.14</v>
      </c>
      <c r="W32" s="3">
        <v>-15.14</v>
      </c>
      <c r="X32" s="3">
        <v>0.68</v>
      </c>
      <c r="Y32" s="3">
        <v>-0.41</v>
      </c>
    </row>
    <row r="33" ht="14.5" spans="1:25">
      <c r="A33" s="2" t="s">
        <v>92</v>
      </c>
      <c r="B33" s="3">
        <v>-14.51</v>
      </c>
      <c r="C33" s="3"/>
      <c r="D33" s="3">
        <v>-3.49</v>
      </c>
      <c r="E33" s="3"/>
      <c r="F33" s="3">
        <v>0.81</v>
      </c>
      <c r="G33" s="3">
        <v>-1.75</v>
      </c>
      <c r="H33" s="3"/>
      <c r="I33" s="3">
        <v>0.92</v>
      </c>
      <c r="J33" s="3">
        <v>-3.63</v>
      </c>
      <c r="K33" s="3">
        <v>2.15</v>
      </c>
      <c r="L33" s="3">
        <v>-1.24</v>
      </c>
      <c r="M33" s="3">
        <v>5.83</v>
      </c>
      <c r="N33" s="3">
        <v>-3.63</v>
      </c>
      <c r="O33" s="3">
        <v>-5.59</v>
      </c>
      <c r="P33" s="3">
        <v>-1.88</v>
      </c>
      <c r="Q33" s="3">
        <v>13.86</v>
      </c>
      <c r="R33" s="3"/>
      <c r="S33" s="3"/>
      <c r="T33" s="3">
        <v>-5.06</v>
      </c>
      <c r="U33" s="3">
        <v>-2.87</v>
      </c>
      <c r="V33" s="3">
        <v>0.18</v>
      </c>
      <c r="W33" s="3">
        <v>-4.8</v>
      </c>
      <c r="X33" s="3">
        <v>-0.57</v>
      </c>
      <c r="Y33" s="3">
        <v>-2.18</v>
      </c>
    </row>
    <row r="34" ht="14.5" spans="1:25">
      <c r="A34" s="2" t="s">
        <v>94</v>
      </c>
      <c r="B34" s="3">
        <v>-24.4</v>
      </c>
      <c r="C34" s="3">
        <v>-5.32</v>
      </c>
      <c r="D34" s="3">
        <v>-2.06</v>
      </c>
      <c r="E34" s="3">
        <v>-5.58</v>
      </c>
      <c r="F34" s="3">
        <v>1.75</v>
      </c>
      <c r="G34" s="3">
        <v>-0.43</v>
      </c>
      <c r="H34" s="3">
        <v>-12.26</v>
      </c>
      <c r="I34" s="3">
        <v>1.86</v>
      </c>
      <c r="J34" s="3">
        <v>-2.04</v>
      </c>
      <c r="K34" s="3">
        <v>3.19</v>
      </c>
      <c r="L34" s="3">
        <v>-4.1</v>
      </c>
      <c r="M34" s="3">
        <v>3.24</v>
      </c>
      <c r="N34" s="3">
        <v>-2.25</v>
      </c>
      <c r="O34" s="3">
        <v>-5.91</v>
      </c>
      <c r="P34" s="3">
        <v>19.9</v>
      </c>
      <c r="Q34" s="3">
        <v>8.7</v>
      </c>
      <c r="R34" s="3">
        <v>-4.4</v>
      </c>
      <c r="S34" s="3">
        <v>-6.66</v>
      </c>
      <c r="T34" s="3">
        <v>2.78</v>
      </c>
      <c r="U34" s="3">
        <v>8.22</v>
      </c>
      <c r="V34" s="3">
        <v>0.5</v>
      </c>
      <c r="W34" s="3">
        <v>-15.12</v>
      </c>
      <c r="X34" s="3">
        <v>0.55</v>
      </c>
      <c r="Y34" s="3">
        <v>-1.27</v>
      </c>
    </row>
    <row r="35" ht="14.5" spans="1:25">
      <c r="A35" s="2" t="s">
        <v>96</v>
      </c>
      <c r="B35" s="3">
        <v>-8.31</v>
      </c>
      <c r="C35" s="3">
        <v>-1.79</v>
      </c>
      <c r="D35" s="3">
        <v>-2.28</v>
      </c>
      <c r="E35" s="3">
        <v>-3.06</v>
      </c>
      <c r="F35" s="3">
        <v>-0.12</v>
      </c>
      <c r="G35" s="3">
        <v>-0.8</v>
      </c>
      <c r="H35" s="3">
        <v>2.16</v>
      </c>
      <c r="I35" s="3">
        <v>0.02</v>
      </c>
      <c r="J35" s="3">
        <v>-2.54</v>
      </c>
      <c r="K35" s="3">
        <v>-0.25</v>
      </c>
      <c r="L35" s="3">
        <v>0.89</v>
      </c>
      <c r="M35" s="3">
        <v>6.07</v>
      </c>
      <c r="N35" s="3">
        <v>-2.14</v>
      </c>
      <c r="O35" s="3">
        <v>-7.33</v>
      </c>
      <c r="P35" s="3">
        <v>-14.55</v>
      </c>
      <c r="Q35" s="3">
        <v>14.21</v>
      </c>
      <c r="R35" s="3">
        <v>-0.53</v>
      </c>
      <c r="S35" s="3">
        <v>6.95</v>
      </c>
      <c r="T35" s="3">
        <v>-7.52</v>
      </c>
      <c r="U35" s="3">
        <v>-10.66</v>
      </c>
      <c r="V35" s="3">
        <v>-0.4</v>
      </c>
      <c r="W35" s="3">
        <v>-1.2</v>
      </c>
      <c r="X35" s="3">
        <v>-1.74</v>
      </c>
      <c r="Y35" s="3">
        <v>-3.83</v>
      </c>
    </row>
    <row r="36" ht="14.5" spans="1:25">
      <c r="A36" s="2" t="s">
        <v>98</v>
      </c>
      <c r="B36" s="3">
        <v>-23.62</v>
      </c>
      <c r="C36" s="3">
        <v>-5.53</v>
      </c>
      <c r="D36" s="3">
        <v>-1.85</v>
      </c>
      <c r="E36" s="3">
        <v>-4.69</v>
      </c>
      <c r="F36" s="3">
        <v>1.19</v>
      </c>
      <c r="G36" s="3">
        <v>-0.25</v>
      </c>
      <c r="H36" s="3">
        <v>-11.59</v>
      </c>
      <c r="I36" s="3">
        <v>1.3</v>
      </c>
      <c r="J36" s="3">
        <v>-1.97</v>
      </c>
      <c r="K36" s="3">
        <v>1.52</v>
      </c>
      <c r="L36" s="3">
        <v>-3.5</v>
      </c>
      <c r="M36" s="3">
        <v>4.05</v>
      </c>
      <c r="N36" s="3">
        <v>-1.98</v>
      </c>
      <c r="O36" s="3">
        <v>-6.9</v>
      </c>
      <c r="P36" s="3">
        <v>18.67</v>
      </c>
      <c r="Q36" s="3">
        <v>10.29</v>
      </c>
      <c r="R36" s="3">
        <v>-4.56</v>
      </c>
      <c r="S36" s="3">
        <v>-5.66</v>
      </c>
      <c r="T36" s="3">
        <v>2.72</v>
      </c>
      <c r="U36" s="3">
        <v>7.71</v>
      </c>
      <c r="V36" s="3">
        <v>-0.63</v>
      </c>
      <c r="W36" s="3">
        <v>-15.17</v>
      </c>
      <c r="X36" s="3">
        <v>-0.18</v>
      </c>
      <c r="Y36" s="3">
        <v>-1.94</v>
      </c>
    </row>
    <row r="37" ht="14.5" spans="1:25">
      <c r="A37" s="2" t="s">
        <v>100</v>
      </c>
      <c r="B37" s="3"/>
      <c r="C37" s="3"/>
      <c r="D37" s="3">
        <v>-3.21</v>
      </c>
      <c r="E37" s="3"/>
      <c r="F37" s="3">
        <v>0.24</v>
      </c>
      <c r="G37" s="3">
        <v>-0.54</v>
      </c>
      <c r="H37" s="3"/>
      <c r="I37" s="3">
        <v>0.37</v>
      </c>
      <c r="J37" s="3">
        <v>-3.04</v>
      </c>
      <c r="K37" s="3">
        <v>0.79</v>
      </c>
      <c r="L37" s="3"/>
      <c r="M37" s="3"/>
      <c r="N37" s="3">
        <v>-3.07</v>
      </c>
      <c r="O37" s="3">
        <v>-6.22</v>
      </c>
      <c r="P37" s="3">
        <v>-8.7</v>
      </c>
      <c r="Q37" s="3"/>
      <c r="R37" s="3"/>
      <c r="S37" s="3"/>
      <c r="T37" s="3">
        <v>-5.27</v>
      </c>
      <c r="U37" s="3">
        <v>-7.63</v>
      </c>
      <c r="V37" s="3">
        <v>0.33</v>
      </c>
      <c r="W37" s="3"/>
      <c r="X37" s="3">
        <v>-0.96</v>
      </c>
      <c r="Y37" s="3">
        <v>-2.28</v>
      </c>
    </row>
    <row r="38" ht="14.5" spans="1:25">
      <c r="A38" s="2" t="s">
        <v>102</v>
      </c>
      <c r="B38" s="3">
        <v>-8.11</v>
      </c>
      <c r="C38" s="3">
        <v>-1.88</v>
      </c>
      <c r="D38" s="3">
        <v>-1.92</v>
      </c>
      <c r="E38" s="3">
        <v>-2.28</v>
      </c>
      <c r="F38" s="3">
        <v>0.23</v>
      </c>
      <c r="G38" s="3">
        <v>-0.17</v>
      </c>
      <c r="H38" s="3">
        <v>0.72</v>
      </c>
      <c r="I38" s="3">
        <v>0.36</v>
      </c>
      <c r="J38" s="3">
        <v>-2.08</v>
      </c>
      <c r="K38" s="3">
        <v>0.74</v>
      </c>
      <c r="L38" s="3">
        <v>0.45</v>
      </c>
      <c r="M38" s="3">
        <v>8.33</v>
      </c>
      <c r="N38" s="3">
        <v>-1.92</v>
      </c>
      <c r="O38" s="3">
        <v>-7.39</v>
      </c>
      <c r="P38" s="3">
        <v>-8.76</v>
      </c>
      <c r="Q38" s="3">
        <v>18.8</v>
      </c>
      <c r="R38" s="3">
        <v>-0.92</v>
      </c>
      <c r="S38" s="3">
        <v>5.8</v>
      </c>
      <c r="T38" s="3">
        <v>-6.61</v>
      </c>
      <c r="U38" s="3">
        <v>-6.95</v>
      </c>
      <c r="V38" s="3">
        <v>-0.49</v>
      </c>
      <c r="W38" s="3">
        <v>-0.76</v>
      </c>
      <c r="X38" s="3">
        <v>-1.25</v>
      </c>
      <c r="Y38" s="3">
        <v>-2.95</v>
      </c>
    </row>
    <row r="39" ht="14.5" spans="1:25">
      <c r="A39" s="2" t="s">
        <v>104</v>
      </c>
      <c r="B39" s="3">
        <v>-24.18</v>
      </c>
      <c r="C39" s="3"/>
      <c r="D39" s="3">
        <v>-2.05</v>
      </c>
      <c r="E39" s="3"/>
      <c r="F39" s="3">
        <v>1.49</v>
      </c>
      <c r="G39" s="3">
        <v>-0.2</v>
      </c>
      <c r="H39" s="3"/>
      <c r="I39" s="3">
        <v>1.61</v>
      </c>
      <c r="J39" s="3">
        <v>-2</v>
      </c>
      <c r="K39" s="3">
        <v>2.88</v>
      </c>
      <c r="L39" s="3">
        <v>-4.32</v>
      </c>
      <c r="M39" s="3">
        <v>3.55</v>
      </c>
      <c r="N39" s="3">
        <v>-2.04</v>
      </c>
      <c r="O39" s="3">
        <v>-7.4</v>
      </c>
      <c r="P39" s="3">
        <v>16.52</v>
      </c>
      <c r="Q39" s="3">
        <v>9.24</v>
      </c>
      <c r="R39" s="3"/>
      <c r="S39" s="3"/>
      <c r="T39" s="3">
        <v>3.05</v>
      </c>
      <c r="U39" s="3">
        <v>6.46</v>
      </c>
      <c r="V39" s="3">
        <v>-0.73</v>
      </c>
      <c r="W39" s="3">
        <v>-15.44</v>
      </c>
      <c r="X39" s="3">
        <v>0.21</v>
      </c>
      <c r="Y39" s="3">
        <v>-1.6</v>
      </c>
    </row>
    <row r="40" ht="14.5" spans="1:25">
      <c r="A40" s="2" t="s">
        <v>106</v>
      </c>
      <c r="B40" s="3">
        <v>-10.73</v>
      </c>
      <c r="C40" s="3">
        <v>-3.33</v>
      </c>
      <c r="D40" s="3">
        <v>-1.37</v>
      </c>
      <c r="E40" s="3">
        <v>-4.52</v>
      </c>
      <c r="F40" s="3">
        <v>0.91</v>
      </c>
      <c r="G40" s="3">
        <v>-0.07</v>
      </c>
      <c r="H40" s="3">
        <v>-3.03</v>
      </c>
      <c r="I40" s="3">
        <v>1.03</v>
      </c>
      <c r="J40" s="3">
        <v>-1.23</v>
      </c>
      <c r="K40" s="3">
        <v>2.01</v>
      </c>
      <c r="L40" s="3">
        <v>-0.86</v>
      </c>
      <c r="M40" s="3">
        <v>5.96</v>
      </c>
      <c r="N40" s="3">
        <v>-1.44</v>
      </c>
      <c r="O40" s="3">
        <v>-6.01</v>
      </c>
      <c r="P40" s="3">
        <v>-9.07</v>
      </c>
      <c r="Q40" s="3">
        <v>14.09</v>
      </c>
      <c r="R40" s="3">
        <v>-2.3</v>
      </c>
      <c r="S40" s="3">
        <v>1.84</v>
      </c>
      <c r="T40" s="3">
        <v>-7.26</v>
      </c>
      <c r="U40" s="3">
        <v>-6.55</v>
      </c>
      <c r="V40" s="3">
        <v>-0.77</v>
      </c>
      <c r="W40" s="3">
        <v>-3.13</v>
      </c>
      <c r="X40" s="3">
        <v>-0.24</v>
      </c>
      <c r="Y40" s="3">
        <v>-2.61</v>
      </c>
    </row>
    <row r="41" ht="14.5" spans="1:25">
      <c r="A41" s="2" t="s">
        <v>108</v>
      </c>
      <c r="B41" s="3">
        <v>-8.55</v>
      </c>
      <c r="C41" s="3">
        <v>-3.43</v>
      </c>
      <c r="D41" s="3">
        <v>-1.48</v>
      </c>
      <c r="E41" s="3">
        <v>-4.46</v>
      </c>
      <c r="F41" s="3">
        <v>0.2</v>
      </c>
      <c r="G41" s="3">
        <v>-0.04</v>
      </c>
      <c r="H41" s="3">
        <v>-1.33</v>
      </c>
      <c r="I41" s="3">
        <v>0.33</v>
      </c>
      <c r="J41" s="3">
        <v>-1.48</v>
      </c>
      <c r="K41" s="3">
        <v>-0.09</v>
      </c>
      <c r="L41" s="3">
        <v>-0.22</v>
      </c>
      <c r="M41" s="3">
        <v>7.11</v>
      </c>
      <c r="N41" s="3">
        <v>-1.35</v>
      </c>
      <c r="O41" s="3">
        <v>-8.41</v>
      </c>
      <c r="P41" s="3">
        <v>-9.54</v>
      </c>
      <c r="Q41" s="3">
        <v>16.3</v>
      </c>
      <c r="R41" s="3">
        <v>-2.14</v>
      </c>
      <c r="S41" s="3">
        <v>3.13</v>
      </c>
      <c r="T41" s="3">
        <v>-5.74</v>
      </c>
      <c r="U41" s="3">
        <v>-8.01</v>
      </c>
      <c r="V41" s="3">
        <v>-0.29</v>
      </c>
      <c r="W41" s="3">
        <v>-1.89</v>
      </c>
      <c r="X41" s="3">
        <v>-1.17</v>
      </c>
      <c r="Y41" s="3">
        <v>-3.53</v>
      </c>
    </row>
    <row r="42" ht="14.5" spans="1:25">
      <c r="A42" s="2" t="s">
        <v>110</v>
      </c>
      <c r="B42" s="3">
        <v>-21.56</v>
      </c>
      <c r="C42" s="3">
        <v>-5.37</v>
      </c>
      <c r="D42" s="3">
        <v>-1.55</v>
      </c>
      <c r="E42" s="3">
        <v>-6.21</v>
      </c>
      <c r="F42" s="3">
        <v>1.09</v>
      </c>
      <c r="G42" s="3">
        <v>-0.09</v>
      </c>
      <c r="H42" s="3">
        <v>-11.33</v>
      </c>
      <c r="I42" s="3">
        <v>1.21</v>
      </c>
      <c r="J42" s="3">
        <v>-1.57</v>
      </c>
      <c r="K42" s="3">
        <v>1.78</v>
      </c>
      <c r="L42" s="3">
        <v>-3.86</v>
      </c>
      <c r="M42" s="3">
        <v>4.43</v>
      </c>
      <c r="N42" s="3">
        <v>-1.47</v>
      </c>
      <c r="O42" s="3">
        <v>-7.71</v>
      </c>
      <c r="P42" s="3">
        <v>14.33</v>
      </c>
      <c r="Q42" s="3">
        <v>10.97</v>
      </c>
      <c r="R42" s="3">
        <v>-4.25</v>
      </c>
      <c r="S42" s="3">
        <v>-6.21</v>
      </c>
      <c r="T42" s="3">
        <v>2.78</v>
      </c>
      <c r="U42" s="3">
        <v>4.91</v>
      </c>
      <c r="V42" s="3">
        <v>-0.65</v>
      </c>
      <c r="W42" s="3">
        <v>-13.84</v>
      </c>
      <c r="X42" s="3">
        <v>-0.29</v>
      </c>
      <c r="Y42" s="3">
        <v>-2.52</v>
      </c>
    </row>
    <row r="43" ht="14.5" spans="1:25">
      <c r="A43" s="2" t="s">
        <v>113</v>
      </c>
      <c r="B43" s="3">
        <v>-15.49</v>
      </c>
      <c r="C43" s="3">
        <v>-2.58</v>
      </c>
      <c r="D43" s="3">
        <v>-3.4</v>
      </c>
      <c r="E43" s="3">
        <v>-3.53</v>
      </c>
      <c r="F43" s="3">
        <v>0.36</v>
      </c>
      <c r="G43" s="3">
        <v>-2.69</v>
      </c>
      <c r="H43" s="3">
        <v>-2.13</v>
      </c>
      <c r="I43" s="3">
        <v>0.49</v>
      </c>
      <c r="J43" s="3">
        <v>-3.92</v>
      </c>
      <c r="K43" s="3">
        <v>0.01</v>
      </c>
      <c r="L43" s="3">
        <v>-0.59</v>
      </c>
      <c r="M43" s="3">
        <v>5.57</v>
      </c>
      <c r="N43" s="3">
        <v>-3.24</v>
      </c>
      <c r="O43" s="3">
        <v>-8.56</v>
      </c>
      <c r="P43" s="3">
        <v>-5.43</v>
      </c>
      <c r="Q43" s="3">
        <v>13.21</v>
      </c>
      <c r="R43" s="3">
        <v>-1.81</v>
      </c>
      <c r="S43" s="3">
        <v>2.69</v>
      </c>
      <c r="T43" s="3">
        <v>-3.38</v>
      </c>
      <c r="U43" s="3">
        <v>-4.91</v>
      </c>
      <c r="V43" s="3">
        <v>-1.66</v>
      </c>
      <c r="W43" s="3">
        <v>-6.85</v>
      </c>
      <c r="X43" s="3">
        <v>-1.53</v>
      </c>
      <c r="Y43" s="3">
        <v>-4.17</v>
      </c>
    </row>
    <row r="44" ht="14.5" spans="1:25">
      <c r="A44" s="2" t="s">
        <v>115</v>
      </c>
      <c r="B44" s="3">
        <v>-16.6</v>
      </c>
      <c r="C44" s="3">
        <v>-1.91</v>
      </c>
      <c r="D44" s="3">
        <v>-3.16</v>
      </c>
      <c r="E44" s="3">
        <v>-3.46</v>
      </c>
      <c r="F44" s="3">
        <v>0.47</v>
      </c>
      <c r="G44" s="3">
        <v>-2.22</v>
      </c>
      <c r="H44" s="3">
        <v>-3.65</v>
      </c>
      <c r="I44" s="3">
        <v>0.6</v>
      </c>
      <c r="J44" s="3">
        <v>-3.42</v>
      </c>
      <c r="K44" s="3">
        <v>0.77</v>
      </c>
      <c r="L44" s="3">
        <v>-1.7</v>
      </c>
      <c r="M44" s="3">
        <v>6.16</v>
      </c>
      <c r="N44" s="3">
        <v>-3.15</v>
      </c>
      <c r="O44" s="3">
        <v>-6.91</v>
      </c>
      <c r="P44" s="3">
        <v>1.36</v>
      </c>
      <c r="Q44" s="3">
        <v>14.46</v>
      </c>
      <c r="R44" s="3">
        <v>-1.05</v>
      </c>
      <c r="S44" s="3">
        <v>1.37</v>
      </c>
      <c r="T44" s="3">
        <v>-2.56</v>
      </c>
      <c r="U44" s="3">
        <v>-0.87</v>
      </c>
      <c r="V44" s="3">
        <v>-1.28</v>
      </c>
      <c r="W44" s="3">
        <v>-7.77</v>
      </c>
      <c r="X44" s="3">
        <v>-1.12</v>
      </c>
      <c r="Y44" s="3">
        <v>-3.54</v>
      </c>
    </row>
    <row r="45" ht="14.5" spans="1:25">
      <c r="A45" s="2" t="s">
        <v>118</v>
      </c>
      <c r="B45" s="3">
        <v>-5.59</v>
      </c>
      <c r="C45" s="3">
        <v>2.57</v>
      </c>
      <c r="D45" s="3">
        <v>-1.41</v>
      </c>
      <c r="E45" s="3">
        <v>1.23</v>
      </c>
      <c r="F45" s="3">
        <v>0.75</v>
      </c>
      <c r="G45" s="3">
        <v>0.04</v>
      </c>
      <c r="H45" s="3">
        <v>9.22</v>
      </c>
      <c r="I45" s="3">
        <v>0.91</v>
      </c>
      <c r="J45" s="3">
        <v>-1.51</v>
      </c>
      <c r="K45" s="3">
        <v>1.7</v>
      </c>
      <c r="L45" s="3">
        <v>3.17</v>
      </c>
      <c r="M45" s="3">
        <v>7.34</v>
      </c>
      <c r="N45" s="3">
        <v>-1.16</v>
      </c>
      <c r="O45" s="3">
        <v>-5</v>
      </c>
      <c r="P45" s="3">
        <v>-16.59</v>
      </c>
      <c r="Q45" s="3">
        <v>16.63</v>
      </c>
      <c r="R45" s="3">
        <v>3.96</v>
      </c>
      <c r="S45" s="3">
        <v>15.86</v>
      </c>
      <c r="T45" s="3">
        <v>-5.95</v>
      </c>
      <c r="U45" s="3">
        <v>-12.92</v>
      </c>
      <c r="V45" s="3">
        <v>0.73</v>
      </c>
      <c r="W45" s="3">
        <v>1.11</v>
      </c>
      <c r="X45" s="3">
        <v>-0.63</v>
      </c>
      <c r="Y45" s="3">
        <v>-3.29</v>
      </c>
    </row>
    <row r="46" ht="14.5" spans="1:25">
      <c r="A46" s="2" t="s">
        <v>121</v>
      </c>
      <c r="B46" s="3">
        <v>-14.68</v>
      </c>
      <c r="C46" s="3">
        <v>-3.4</v>
      </c>
      <c r="D46" s="3">
        <v>-1.48</v>
      </c>
      <c r="E46" s="3">
        <v>-4.51</v>
      </c>
      <c r="F46" s="3">
        <v>1.78</v>
      </c>
      <c r="G46" s="3">
        <v>0.06</v>
      </c>
      <c r="H46" s="3">
        <v>-5.49</v>
      </c>
      <c r="I46" s="3">
        <v>1.92</v>
      </c>
      <c r="J46" s="3">
        <v>-1.51</v>
      </c>
      <c r="K46" s="3">
        <v>3.92</v>
      </c>
      <c r="L46" s="3">
        <v>-2.33</v>
      </c>
      <c r="M46" s="3">
        <v>7.21</v>
      </c>
      <c r="N46" s="3">
        <v>-1.35</v>
      </c>
      <c r="O46" s="3">
        <v>-7.72</v>
      </c>
      <c r="P46" s="3">
        <v>4.83</v>
      </c>
      <c r="Q46" s="3">
        <v>16.49</v>
      </c>
      <c r="R46" s="3">
        <v>-1.39</v>
      </c>
      <c r="S46" s="3">
        <v>-0.35</v>
      </c>
      <c r="T46" s="3">
        <v>-0.2</v>
      </c>
      <c r="U46" s="3">
        <v>-0.48</v>
      </c>
      <c r="V46" s="3">
        <v>0.56</v>
      </c>
      <c r="W46" s="3">
        <v>-6.46</v>
      </c>
      <c r="X46" s="3">
        <v>0.39</v>
      </c>
      <c r="Y46" s="3">
        <v>-1.85</v>
      </c>
    </row>
    <row r="47" ht="14.5" spans="1:25">
      <c r="A47" s="2" t="s">
        <v>124</v>
      </c>
      <c r="B47" s="3">
        <v>-19.95</v>
      </c>
      <c r="C47" s="3">
        <v>-6.51</v>
      </c>
      <c r="D47" s="3">
        <v>-2.1</v>
      </c>
      <c r="E47" s="3">
        <v>-6.61</v>
      </c>
      <c r="F47" s="3">
        <v>1.08</v>
      </c>
      <c r="G47" s="3">
        <v>-0.04</v>
      </c>
      <c r="H47" s="3">
        <v>-11.64</v>
      </c>
      <c r="I47" s="3">
        <v>1.22</v>
      </c>
      <c r="J47" s="3">
        <v>-1.35</v>
      </c>
      <c r="K47" s="3">
        <v>3.21</v>
      </c>
      <c r="L47" s="3">
        <v>-3.19</v>
      </c>
      <c r="M47" s="3">
        <v>6</v>
      </c>
      <c r="N47" s="3">
        <v>-1.96</v>
      </c>
      <c r="O47" s="3">
        <v>-7.67</v>
      </c>
      <c r="P47" s="3">
        <v>12.6</v>
      </c>
      <c r="Q47" s="3">
        <v>14.09</v>
      </c>
      <c r="R47" s="3">
        <v>-4.49</v>
      </c>
      <c r="S47" s="3">
        <v>-5.16</v>
      </c>
      <c r="T47" s="3">
        <v>2.84</v>
      </c>
      <c r="U47" s="3">
        <v>3.96</v>
      </c>
      <c r="V47" s="3">
        <v>-0.54</v>
      </c>
      <c r="W47" s="3">
        <v>-11.81</v>
      </c>
      <c r="X47" s="3">
        <v>0.46</v>
      </c>
      <c r="Y47" s="3">
        <v>-2.03</v>
      </c>
    </row>
    <row r="48" ht="14.5" spans="1:25">
      <c r="A48" s="2" t="s">
        <v>126</v>
      </c>
      <c r="B48" s="3">
        <v>-20.57</v>
      </c>
      <c r="C48" s="3">
        <v>-7.19</v>
      </c>
      <c r="D48" s="3">
        <v>-1.7</v>
      </c>
      <c r="E48" s="3">
        <v>-7.71</v>
      </c>
      <c r="F48" s="3">
        <v>1.05</v>
      </c>
      <c r="G48" s="3">
        <v>0.02</v>
      </c>
      <c r="H48" s="3">
        <v>-14.03</v>
      </c>
      <c r="I48" s="3">
        <v>1.18</v>
      </c>
      <c r="J48" s="3">
        <v>-1.14</v>
      </c>
      <c r="K48" s="3">
        <v>2.56</v>
      </c>
      <c r="L48" s="3">
        <v>-3.85</v>
      </c>
      <c r="M48" s="3">
        <v>5.73</v>
      </c>
      <c r="N48" s="3">
        <v>-1.61</v>
      </c>
      <c r="O48" s="3">
        <v>-6.19</v>
      </c>
      <c r="P48" s="3">
        <v>15.42</v>
      </c>
      <c r="Q48" s="3">
        <v>13.57</v>
      </c>
      <c r="R48" s="3">
        <v>-5.72</v>
      </c>
      <c r="S48" s="3">
        <v>-7.69</v>
      </c>
      <c r="T48" s="3">
        <v>3.35</v>
      </c>
      <c r="U48" s="3">
        <v>5.38</v>
      </c>
      <c r="V48" s="3">
        <v>-0.4</v>
      </c>
      <c r="W48" s="3">
        <v>-12.76</v>
      </c>
      <c r="X48" s="3">
        <v>0.25</v>
      </c>
      <c r="Y48" s="3">
        <v>-2.31</v>
      </c>
    </row>
    <row r="49" ht="14.5" spans="1:25">
      <c r="A49" s="2" t="s">
        <v>129</v>
      </c>
      <c r="B49" s="3">
        <v>-8.69</v>
      </c>
      <c r="C49" s="3"/>
      <c r="D49" s="3">
        <v>-0.52</v>
      </c>
      <c r="E49" s="3"/>
      <c r="F49" s="3">
        <v>1.27</v>
      </c>
      <c r="G49" s="3">
        <v>0.03</v>
      </c>
      <c r="H49" s="3"/>
      <c r="I49" s="3">
        <v>1.41</v>
      </c>
      <c r="J49" s="3">
        <v>-0.1</v>
      </c>
      <c r="K49" s="3">
        <v>2.81</v>
      </c>
      <c r="L49" s="3"/>
      <c r="M49" s="3">
        <v>8.23</v>
      </c>
      <c r="N49" s="3">
        <v>-0.37</v>
      </c>
      <c r="O49" s="3">
        <v>-5.57</v>
      </c>
      <c r="P49" s="3">
        <v>-10.64</v>
      </c>
      <c r="Q49" s="3">
        <v>18.53</v>
      </c>
      <c r="R49" s="3"/>
      <c r="S49" s="3"/>
      <c r="T49" s="3">
        <v>-5.61</v>
      </c>
      <c r="U49" s="3">
        <v>-7.41</v>
      </c>
      <c r="V49" s="3">
        <v>-1.49</v>
      </c>
      <c r="W49" s="3">
        <v>-1.97</v>
      </c>
      <c r="X49" s="3">
        <v>0.33</v>
      </c>
      <c r="Y49" s="3">
        <v>-3.39</v>
      </c>
    </row>
    <row r="50" ht="14.5" spans="1:25">
      <c r="A50" s="2" t="s">
        <v>132</v>
      </c>
      <c r="B50" s="3">
        <v>-7.16</v>
      </c>
      <c r="C50" s="3">
        <v>-2.34</v>
      </c>
      <c r="D50" s="3">
        <v>-0.67</v>
      </c>
      <c r="E50" s="3">
        <v>-5.21</v>
      </c>
      <c r="F50" s="3">
        <v>-2.48</v>
      </c>
      <c r="G50" s="3">
        <v>0.25</v>
      </c>
      <c r="H50" s="3">
        <v>0.83</v>
      </c>
      <c r="I50" s="3">
        <v>-2.35</v>
      </c>
      <c r="J50" s="3">
        <v>-0.46</v>
      </c>
      <c r="K50" s="3">
        <v>-4.74</v>
      </c>
      <c r="L50" s="3">
        <v>0.55</v>
      </c>
      <c r="M50" s="3">
        <v>3.62</v>
      </c>
      <c r="N50" s="3">
        <v>-0.54</v>
      </c>
      <c r="O50" s="3">
        <v>-6.15</v>
      </c>
      <c r="P50" s="3">
        <v>-24.86</v>
      </c>
      <c r="Q50" s="3">
        <v>9.31</v>
      </c>
      <c r="R50" s="3">
        <v>-1.95</v>
      </c>
      <c r="S50" s="3">
        <v>4.86</v>
      </c>
      <c r="T50" s="3">
        <v>-11.31</v>
      </c>
      <c r="U50" s="3">
        <v>-14.87</v>
      </c>
      <c r="V50" s="3">
        <v>-4.45</v>
      </c>
      <c r="W50" s="3">
        <v>-4</v>
      </c>
      <c r="X50" s="3">
        <v>-3.63</v>
      </c>
      <c r="Y50" s="3">
        <v>-6.73</v>
      </c>
    </row>
    <row r="51" ht="14.5" spans="1:25">
      <c r="A51" s="2" t="s">
        <v>134</v>
      </c>
      <c r="B51" s="3">
        <v>-21.76</v>
      </c>
      <c r="C51" s="3">
        <v>-5.22</v>
      </c>
      <c r="D51" s="3">
        <v>-4.05</v>
      </c>
      <c r="E51" s="3">
        <v>-6.27</v>
      </c>
      <c r="F51" s="3">
        <v>0.47</v>
      </c>
      <c r="G51" s="3">
        <v>-2.72</v>
      </c>
      <c r="H51" s="3">
        <v>-9.63</v>
      </c>
      <c r="I51" s="3">
        <v>0.61</v>
      </c>
      <c r="J51" s="3">
        <v>-4.09</v>
      </c>
      <c r="K51" s="3">
        <v>0.21</v>
      </c>
      <c r="L51" s="3">
        <v>-2.81</v>
      </c>
      <c r="M51" s="3">
        <v>4.94</v>
      </c>
      <c r="N51" s="3">
        <v>-3.89</v>
      </c>
      <c r="O51" s="3">
        <v>-8.02</v>
      </c>
      <c r="P51" s="3">
        <v>7.92</v>
      </c>
      <c r="Q51" s="3">
        <v>11.94</v>
      </c>
      <c r="R51" s="3">
        <v>-4.28</v>
      </c>
      <c r="S51" s="3">
        <v>-4.21</v>
      </c>
      <c r="T51" s="3">
        <v>1.53</v>
      </c>
      <c r="U51" s="3">
        <v>1.99</v>
      </c>
      <c r="V51" s="3">
        <v>-1.52</v>
      </c>
      <c r="W51" s="3">
        <v>-12.34</v>
      </c>
      <c r="X51" s="3">
        <v>-0.93</v>
      </c>
      <c r="Y51" s="3">
        <v>-3.42</v>
      </c>
    </row>
    <row r="52" ht="14.5" spans="1:25">
      <c r="A52" s="2" t="s">
        <v>136</v>
      </c>
      <c r="B52" s="3">
        <v>-11.09</v>
      </c>
      <c r="C52" s="3">
        <v>-3.34</v>
      </c>
      <c r="D52" s="3">
        <v>-2.46</v>
      </c>
      <c r="E52" s="3">
        <v>-3.54</v>
      </c>
      <c r="F52" s="3">
        <v>0.4</v>
      </c>
      <c r="G52" s="3">
        <v>-0.73</v>
      </c>
      <c r="H52" s="3">
        <v>-0.34</v>
      </c>
      <c r="I52" s="3">
        <v>0.53</v>
      </c>
      <c r="J52" s="3">
        <v>-2.68</v>
      </c>
      <c r="K52" s="3">
        <v>1.23</v>
      </c>
      <c r="L52" s="3">
        <v>0.03</v>
      </c>
      <c r="M52" s="3">
        <v>6.43</v>
      </c>
      <c r="N52" s="3">
        <v>-2.28</v>
      </c>
      <c r="O52" s="3">
        <v>-9.71</v>
      </c>
      <c r="P52" s="3">
        <v>-14.34</v>
      </c>
      <c r="Q52" s="3">
        <v>14.92</v>
      </c>
      <c r="R52" s="3">
        <v>-1.49</v>
      </c>
      <c r="S52" s="3">
        <v>4.23</v>
      </c>
      <c r="T52" s="3">
        <v>-6.56</v>
      </c>
      <c r="U52" s="3">
        <v>-9.41</v>
      </c>
      <c r="V52" s="3">
        <v>-2.32</v>
      </c>
      <c r="W52" s="3">
        <v>-3.38</v>
      </c>
      <c r="X52" s="3">
        <v>-1.19</v>
      </c>
      <c r="Y52" s="3">
        <v>-3.15</v>
      </c>
    </row>
    <row r="53" ht="14.5" spans="1:25">
      <c r="A53" s="2" t="s">
        <v>139</v>
      </c>
      <c r="B53" s="3">
        <v>-18.8</v>
      </c>
      <c r="C53" s="3">
        <v>-5.21</v>
      </c>
      <c r="D53" s="3">
        <v>-1.62</v>
      </c>
      <c r="E53" s="3">
        <v>-4.71</v>
      </c>
      <c r="F53" s="3">
        <v>0.89</v>
      </c>
      <c r="G53" s="3">
        <v>0.17</v>
      </c>
      <c r="H53" s="3">
        <v>-8.94</v>
      </c>
      <c r="I53" s="3">
        <v>1.02</v>
      </c>
      <c r="J53" s="3">
        <v>-1.2</v>
      </c>
      <c r="K53" s="3">
        <v>2.33</v>
      </c>
      <c r="L53" s="3">
        <v>-2.58</v>
      </c>
      <c r="M53" s="3">
        <v>6.37</v>
      </c>
      <c r="N53" s="3">
        <v>-1.5</v>
      </c>
      <c r="O53" s="3">
        <v>-8.3</v>
      </c>
      <c r="P53" s="3">
        <v>10.74</v>
      </c>
      <c r="Q53" s="3">
        <v>14.82</v>
      </c>
      <c r="R53" s="3">
        <v>-3.4</v>
      </c>
      <c r="S53" s="3">
        <v>-2.84</v>
      </c>
      <c r="T53" s="3">
        <v>1.97</v>
      </c>
      <c r="U53" s="3">
        <v>3.13</v>
      </c>
      <c r="V53" s="3">
        <v>-1.14</v>
      </c>
      <c r="W53" s="3">
        <v>-11.29</v>
      </c>
      <c r="X53" s="3">
        <v>-0.04</v>
      </c>
      <c r="Y53" s="3">
        <v>-2.46</v>
      </c>
    </row>
    <row r="54" ht="14.5" spans="1:25">
      <c r="A54" s="2" t="s">
        <v>142</v>
      </c>
      <c r="B54" s="3">
        <v>-14.75</v>
      </c>
      <c r="C54" s="3">
        <v>-3.67</v>
      </c>
      <c r="D54" s="3">
        <v>-0.49</v>
      </c>
      <c r="E54" s="3">
        <v>-3.8</v>
      </c>
      <c r="F54" s="3">
        <v>1.11</v>
      </c>
      <c r="G54" s="3">
        <v>0.11</v>
      </c>
      <c r="H54" s="3">
        <v>-6.44</v>
      </c>
      <c r="I54" s="3">
        <v>1.23</v>
      </c>
      <c r="J54" s="3">
        <v>-0.45</v>
      </c>
      <c r="K54" s="3">
        <v>2.42</v>
      </c>
      <c r="L54" s="3">
        <v>-2.35</v>
      </c>
      <c r="M54" s="3">
        <v>7.35</v>
      </c>
      <c r="N54" s="3">
        <v>-0.49</v>
      </c>
      <c r="O54" s="3">
        <v>-7.03</v>
      </c>
      <c r="P54" s="3">
        <v>8.56</v>
      </c>
      <c r="Q54" s="3">
        <v>16.85</v>
      </c>
      <c r="R54" s="3">
        <v>-2.33</v>
      </c>
      <c r="S54" s="3">
        <v>-1.22</v>
      </c>
      <c r="T54" s="3">
        <v>-0.16</v>
      </c>
      <c r="U54" s="3">
        <v>1.84</v>
      </c>
      <c r="V54" s="3">
        <v>-0.2</v>
      </c>
      <c r="W54" s="3">
        <v>-7.94</v>
      </c>
      <c r="X54" s="3">
        <v>-0.18</v>
      </c>
      <c r="Y54" s="3">
        <v>-3.22</v>
      </c>
    </row>
    <row r="55" ht="14.5" spans="1:25">
      <c r="A55" s="2" t="s">
        <v>145</v>
      </c>
      <c r="B55" s="3">
        <v>-21.63</v>
      </c>
      <c r="C55" s="3">
        <v>-6.25</v>
      </c>
      <c r="D55" s="3">
        <v>-2.63</v>
      </c>
      <c r="E55" s="3">
        <v>-6.19</v>
      </c>
      <c r="F55" s="3">
        <v>1.3</v>
      </c>
      <c r="G55" s="3">
        <v>-0.37</v>
      </c>
      <c r="H55" s="3">
        <v>-9.74</v>
      </c>
      <c r="I55" s="3">
        <v>1.44</v>
      </c>
      <c r="J55" s="3">
        <v>-2.83</v>
      </c>
      <c r="K55" s="3">
        <v>2.98</v>
      </c>
      <c r="L55" s="3">
        <v>-3.4</v>
      </c>
      <c r="M55" s="3">
        <v>3.93</v>
      </c>
      <c r="N55" s="3">
        <v>-2.5</v>
      </c>
      <c r="O55" s="3">
        <v>-10.21</v>
      </c>
      <c r="P55" s="3">
        <v>4.37</v>
      </c>
      <c r="Q55" s="3">
        <v>9.95</v>
      </c>
      <c r="R55" s="3">
        <v>-4.29</v>
      </c>
      <c r="S55" s="3">
        <v>-5.38</v>
      </c>
      <c r="T55" s="3">
        <v>-0.05</v>
      </c>
      <c r="U55" s="3">
        <v>0.68</v>
      </c>
      <c r="V55" s="3">
        <v>-2.28</v>
      </c>
      <c r="W55" s="3">
        <v>-12.73</v>
      </c>
      <c r="X55" s="3">
        <v>-0.26</v>
      </c>
      <c r="Y55" s="3">
        <v>-1.61</v>
      </c>
    </row>
    <row r="56" ht="14.5" spans="1:25">
      <c r="A56" s="2" t="s">
        <v>147</v>
      </c>
      <c r="B56" s="3">
        <v>-19.58</v>
      </c>
      <c r="C56" s="3">
        <v>-5.2</v>
      </c>
      <c r="D56" s="3">
        <v>-1.29</v>
      </c>
      <c r="E56" s="3">
        <v>-5.62</v>
      </c>
      <c r="F56" s="3">
        <v>1.13</v>
      </c>
      <c r="G56" s="3">
        <v>0.56</v>
      </c>
      <c r="H56" s="3">
        <v>-9.73</v>
      </c>
      <c r="I56" s="3">
        <v>1.26</v>
      </c>
      <c r="J56" s="3">
        <v>-1.04</v>
      </c>
      <c r="K56" s="3">
        <v>2.77</v>
      </c>
      <c r="L56" s="3">
        <v>-3.06</v>
      </c>
      <c r="M56" s="3">
        <v>4.86</v>
      </c>
      <c r="N56" s="3">
        <v>-1.2</v>
      </c>
      <c r="O56" s="3">
        <v>-7.14</v>
      </c>
      <c r="P56" s="3">
        <v>7.75</v>
      </c>
      <c r="Q56" s="3">
        <v>11.83</v>
      </c>
      <c r="R56" s="3">
        <v>-3.44</v>
      </c>
      <c r="S56" s="3">
        <v>-3.83</v>
      </c>
      <c r="T56" s="3">
        <v>0.69</v>
      </c>
      <c r="U56" s="3">
        <v>2.03</v>
      </c>
      <c r="V56" s="3">
        <v>-1.61</v>
      </c>
      <c r="W56" s="3">
        <v>-12.12</v>
      </c>
      <c r="X56" s="3">
        <v>0.02</v>
      </c>
      <c r="Y56" s="3">
        <v>-2.12</v>
      </c>
    </row>
    <row r="57" ht="14.5" spans="1:25">
      <c r="A57" s="2" t="s">
        <v>150</v>
      </c>
      <c r="B57" s="3">
        <v>-14.52</v>
      </c>
      <c r="C57" s="3">
        <v>-3.77</v>
      </c>
      <c r="D57" s="3">
        <v>-0.43</v>
      </c>
      <c r="E57" s="3">
        <v>-4.21</v>
      </c>
      <c r="F57" s="3">
        <v>0.95</v>
      </c>
      <c r="G57" s="3">
        <v>0.04</v>
      </c>
      <c r="H57" s="3">
        <v>-7.03</v>
      </c>
      <c r="I57" s="3">
        <v>1.07</v>
      </c>
      <c r="J57" s="3">
        <v>-0.25</v>
      </c>
      <c r="K57" s="3">
        <v>2.17</v>
      </c>
      <c r="L57" s="3">
        <v>-2.6</v>
      </c>
      <c r="M57" s="3">
        <v>7.07</v>
      </c>
      <c r="N57" s="3">
        <v>-0.6</v>
      </c>
      <c r="O57" s="3">
        <v>-5.77</v>
      </c>
      <c r="P57" s="3">
        <v>7.79</v>
      </c>
      <c r="Q57" s="3">
        <v>16.34</v>
      </c>
      <c r="R57" s="3">
        <v>-2.57</v>
      </c>
      <c r="S57" s="3">
        <v>-1.85</v>
      </c>
      <c r="T57" s="3">
        <v>-1.65</v>
      </c>
      <c r="U57" s="3">
        <v>1.93</v>
      </c>
      <c r="V57" s="3">
        <v>-0.42</v>
      </c>
      <c r="W57" s="3">
        <v>-7.68</v>
      </c>
      <c r="X57" s="3">
        <v>-0.1</v>
      </c>
      <c r="Y57" s="3">
        <v>-3.26</v>
      </c>
    </row>
    <row r="58" ht="14.5" spans="1:25">
      <c r="A58" s="2" t="s">
        <v>153</v>
      </c>
      <c r="B58" s="3">
        <v>-22.74</v>
      </c>
      <c r="C58" s="3">
        <v>-7.21</v>
      </c>
      <c r="D58" s="3">
        <v>-1.68</v>
      </c>
      <c r="E58" s="3">
        <v>-6.91</v>
      </c>
      <c r="F58" s="3">
        <v>1.73</v>
      </c>
      <c r="G58" s="3">
        <v>0.09</v>
      </c>
      <c r="H58" s="3">
        <v>-13.06</v>
      </c>
      <c r="I58" s="3">
        <v>1.86</v>
      </c>
      <c r="J58" s="3">
        <v>-1.7</v>
      </c>
      <c r="K58" s="3">
        <v>3.67</v>
      </c>
      <c r="L58" s="3">
        <v>-3.92</v>
      </c>
      <c r="M58" s="3">
        <v>3.85</v>
      </c>
      <c r="N58" s="3">
        <v>-1.59</v>
      </c>
      <c r="O58" s="3">
        <v>-7.45</v>
      </c>
      <c r="P58" s="3">
        <v>8.7</v>
      </c>
      <c r="Q58" s="3">
        <v>9.8</v>
      </c>
      <c r="R58" s="3">
        <v>-5.52</v>
      </c>
      <c r="S58" s="3">
        <v>-7.61</v>
      </c>
      <c r="T58" s="3">
        <v>1.15</v>
      </c>
      <c r="U58" s="3">
        <v>3.05</v>
      </c>
      <c r="V58" s="3">
        <v>-2.28</v>
      </c>
      <c r="W58" s="3">
        <v>-14.29</v>
      </c>
      <c r="X58" s="3">
        <v>0.35</v>
      </c>
      <c r="Y58" s="3">
        <v>-1.6</v>
      </c>
    </row>
    <row r="59" ht="14.5" spans="1:25">
      <c r="A59" s="2" t="s">
        <v>156</v>
      </c>
      <c r="B59" s="3">
        <v>-18.64</v>
      </c>
      <c r="C59" s="3">
        <v>-6.08</v>
      </c>
      <c r="D59" s="3">
        <v>-1.4</v>
      </c>
      <c r="E59" s="3">
        <v>-6.22</v>
      </c>
      <c r="F59" s="3">
        <v>0.86</v>
      </c>
      <c r="G59" s="3">
        <v>0.12</v>
      </c>
      <c r="H59" s="3">
        <v>-10.91</v>
      </c>
      <c r="I59" s="3">
        <v>0.99</v>
      </c>
      <c r="J59" s="3">
        <v>-0.74</v>
      </c>
      <c r="K59" s="3">
        <v>2.96</v>
      </c>
      <c r="L59" s="3">
        <v>-3.05</v>
      </c>
      <c r="M59" s="3">
        <v>6.13</v>
      </c>
      <c r="N59" s="3">
        <v>-1.29</v>
      </c>
      <c r="O59" s="3">
        <v>-6.69</v>
      </c>
      <c r="P59" s="3">
        <v>15.4</v>
      </c>
      <c r="Q59" s="3">
        <v>14.36</v>
      </c>
      <c r="R59" s="3">
        <v>-4.45</v>
      </c>
      <c r="S59" s="3">
        <v>-4.81</v>
      </c>
      <c r="T59" s="3">
        <v>3.38</v>
      </c>
      <c r="U59" s="3">
        <v>4.74</v>
      </c>
      <c r="V59" s="3">
        <v>0.51</v>
      </c>
      <c r="W59" s="3">
        <v>-11.37</v>
      </c>
      <c r="X59" s="3">
        <v>0.16</v>
      </c>
      <c r="Y59" s="3">
        <v>-2.74</v>
      </c>
    </row>
    <row r="60" ht="14.5" spans="1:25">
      <c r="A60" s="2" t="s">
        <v>159</v>
      </c>
      <c r="B60" s="3">
        <v>-19.94</v>
      </c>
      <c r="C60" s="3">
        <v>-6.77</v>
      </c>
      <c r="D60" s="3">
        <v>-2.02</v>
      </c>
      <c r="E60" s="3">
        <v>-5.69</v>
      </c>
      <c r="F60" s="3">
        <v>1.09</v>
      </c>
      <c r="G60" s="3">
        <v>0.35</v>
      </c>
      <c r="H60" s="3">
        <v>-10.4</v>
      </c>
      <c r="I60" s="3">
        <v>1.23</v>
      </c>
      <c r="J60" s="3">
        <v>-1.66</v>
      </c>
      <c r="K60" s="3">
        <v>2.92</v>
      </c>
      <c r="L60" s="3">
        <v>-2.45</v>
      </c>
      <c r="M60" s="3">
        <v>5.8</v>
      </c>
      <c r="N60" s="3">
        <v>-1.84</v>
      </c>
      <c r="O60" s="3">
        <v>-9.03</v>
      </c>
      <c r="P60" s="3">
        <v>10.04</v>
      </c>
      <c r="Q60" s="3">
        <v>13.64</v>
      </c>
      <c r="R60" s="3">
        <v>-4.92</v>
      </c>
      <c r="S60" s="3">
        <v>-4.17</v>
      </c>
      <c r="T60" s="3">
        <v>2.65</v>
      </c>
      <c r="U60" s="3">
        <v>2.62</v>
      </c>
      <c r="V60" s="3">
        <v>-1.15</v>
      </c>
      <c r="W60" s="3">
        <v>-12</v>
      </c>
      <c r="X60" s="3">
        <v>0.1</v>
      </c>
      <c r="Y60" s="3">
        <v>-1.83</v>
      </c>
    </row>
    <row r="61" ht="14.5" spans="1:25">
      <c r="A61" s="2" t="s">
        <v>162</v>
      </c>
      <c r="B61" s="3">
        <v>-19.53</v>
      </c>
      <c r="C61" s="3">
        <v>-7.16</v>
      </c>
      <c r="D61" s="3">
        <v>-1.09</v>
      </c>
      <c r="E61" s="3">
        <v>-6.7</v>
      </c>
      <c r="F61" s="3">
        <v>0.96</v>
      </c>
      <c r="G61" s="3">
        <v>0.03</v>
      </c>
      <c r="H61" s="3">
        <v>-11.86</v>
      </c>
      <c r="I61" s="3">
        <v>1.09</v>
      </c>
      <c r="J61" s="3">
        <v>-0.99</v>
      </c>
      <c r="K61" s="3">
        <v>2.52</v>
      </c>
      <c r="L61" s="3">
        <v>-3.46</v>
      </c>
      <c r="M61" s="3">
        <v>5.54</v>
      </c>
      <c r="N61" s="3">
        <v>-0.94</v>
      </c>
      <c r="O61" s="3">
        <v>-8.83</v>
      </c>
      <c r="P61" s="3">
        <v>10.47</v>
      </c>
      <c r="Q61" s="3">
        <v>13.15</v>
      </c>
      <c r="R61" s="3">
        <v>-4.94</v>
      </c>
      <c r="S61" s="3">
        <v>-6.16</v>
      </c>
      <c r="T61" s="3">
        <v>2.18</v>
      </c>
      <c r="U61" s="3">
        <v>2.99</v>
      </c>
      <c r="V61" s="3">
        <v>-1.53</v>
      </c>
      <c r="W61" s="3">
        <v>-12.54</v>
      </c>
      <c r="X61" s="3">
        <v>-0.31</v>
      </c>
      <c r="Y61" s="3">
        <v>-3.12</v>
      </c>
    </row>
    <row r="62" ht="14.5" spans="1:25">
      <c r="A62" s="2" t="s">
        <v>165</v>
      </c>
      <c r="B62" s="3">
        <v>-19.59</v>
      </c>
      <c r="C62" s="3">
        <v>-6.03</v>
      </c>
      <c r="D62" s="3">
        <v>-1.82</v>
      </c>
      <c r="E62" s="3">
        <v>-7.13</v>
      </c>
      <c r="F62" s="3">
        <v>0.71</v>
      </c>
      <c r="G62" s="3">
        <v>0.21</v>
      </c>
      <c r="H62" s="3">
        <v>-11.46</v>
      </c>
      <c r="I62" s="3">
        <v>0.84</v>
      </c>
      <c r="J62" s="3">
        <v>-1.08</v>
      </c>
      <c r="K62" s="3">
        <v>2.79</v>
      </c>
      <c r="L62" s="3">
        <v>-3.28</v>
      </c>
      <c r="M62" s="3">
        <v>5.37</v>
      </c>
      <c r="N62" s="3">
        <v>-1.67</v>
      </c>
      <c r="O62" s="3">
        <v>-6.42</v>
      </c>
      <c r="P62" s="3">
        <v>11.82</v>
      </c>
      <c r="Q62" s="3">
        <v>12.8</v>
      </c>
      <c r="R62" s="3">
        <v>-4.3</v>
      </c>
      <c r="S62" s="3">
        <v>-5.17</v>
      </c>
      <c r="T62" s="3">
        <v>2.77</v>
      </c>
      <c r="U62" s="3">
        <v>3.29</v>
      </c>
      <c r="V62" s="3">
        <v>-0.48</v>
      </c>
      <c r="W62" s="3">
        <v>-12.15</v>
      </c>
      <c r="X62" s="3">
        <v>0.08</v>
      </c>
      <c r="Y62" s="3">
        <v>-2.48</v>
      </c>
    </row>
    <row r="63" ht="14.5" spans="1:25">
      <c r="A63" s="2" t="s">
        <v>168</v>
      </c>
      <c r="B63" s="3">
        <v>-20.08</v>
      </c>
      <c r="C63" s="3">
        <v>-6.7</v>
      </c>
      <c r="D63" s="3">
        <v>-2.59</v>
      </c>
      <c r="E63" s="3">
        <v>-8.07</v>
      </c>
      <c r="F63" s="3">
        <v>0.86</v>
      </c>
      <c r="G63" s="3">
        <v>0.12</v>
      </c>
      <c r="H63" s="3">
        <v>-13.29</v>
      </c>
      <c r="I63" s="3">
        <v>0.99</v>
      </c>
      <c r="J63" s="3">
        <v>-1.57</v>
      </c>
      <c r="K63" s="3">
        <v>3.02</v>
      </c>
      <c r="L63" s="3">
        <v>-3.77</v>
      </c>
      <c r="M63" s="3">
        <v>6.3</v>
      </c>
      <c r="N63" s="3">
        <v>-2.47</v>
      </c>
      <c r="O63" s="3">
        <v>-6.58</v>
      </c>
      <c r="P63" s="3">
        <v>16.86</v>
      </c>
      <c r="Q63" s="3">
        <v>14.69</v>
      </c>
      <c r="R63" s="3">
        <v>-5.51</v>
      </c>
      <c r="S63" s="3">
        <v>-7.33</v>
      </c>
      <c r="T63" s="3">
        <v>4.22</v>
      </c>
      <c r="U63" s="3">
        <v>5.59</v>
      </c>
      <c r="V63" s="3">
        <v>0.75</v>
      </c>
      <c r="W63" s="3">
        <v>-11.64</v>
      </c>
      <c r="X63" s="3">
        <v>0.52</v>
      </c>
      <c r="Y63" s="3">
        <v>-1.59</v>
      </c>
    </row>
    <row r="64" ht="14.5" spans="1:25">
      <c r="A64" s="2" t="s">
        <v>170</v>
      </c>
      <c r="B64" s="3">
        <v>-18.96</v>
      </c>
      <c r="C64" s="3">
        <v>-6</v>
      </c>
      <c r="D64" s="3">
        <v>-1.29</v>
      </c>
      <c r="E64" s="3">
        <v>-5.26</v>
      </c>
      <c r="F64" s="3">
        <v>0.97</v>
      </c>
      <c r="G64" s="3">
        <v>0.03</v>
      </c>
      <c r="H64" s="3">
        <v>-10.33</v>
      </c>
      <c r="I64" s="3">
        <v>1.08</v>
      </c>
      <c r="J64" s="3">
        <v>-1.38</v>
      </c>
      <c r="K64" s="3">
        <v>2.23</v>
      </c>
      <c r="L64" s="3">
        <v>-3.37</v>
      </c>
      <c r="M64" s="3">
        <v>5.81</v>
      </c>
      <c r="N64" s="3">
        <v>-1.46</v>
      </c>
      <c r="O64" s="3">
        <v>-8.39</v>
      </c>
      <c r="P64" s="3">
        <v>14.93</v>
      </c>
      <c r="Q64" s="3">
        <v>13.83</v>
      </c>
      <c r="R64" s="3">
        <v>-4.49</v>
      </c>
      <c r="S64" s="3">
        <v>-5.3</v>
      </c>
      <c r="T64" s="3">
        <v>1.01</v>
      </c>
      <c r="U64" s="3">
        <v>5.52</v>
      </c>
      <c r="V64" s="3">
        <v>-0.06</v>
      </c>
      <c r="W64" s="3">
        <v>-11.25</v>
      </c>
      <c r="X64" s="3">
        <v>-0.35</v>
      </c>
      <c r="Y64" s="3">
        <v>-2.39</v>
      </c>
    </row>
    <row r="65" ht="14.5" spans="1:25">
      <c r="A65" s="2" t="s">
        <v>173</v>
      </c>
      <c r="B65" s="3">
        <v>-22.42</v>
      </c>
      <c r="C65" s="3">
        <v>-6.67</v>
      </c>
      <c r="D65" s="3">
        <v>-3.12</v>
      </c>
      <c r="E65" s="3">
        <v>-7.47</v>
      </c>
      <c r="F65" s="3">
        <v>0.94</v>
      </c>
      <c r="G65" s="3">
        <v>-0.19</v>
      </c>
      <c r="H65" s="3">
        <v>-13.13</v>
      </c>
      <c r="I65" s="3">
        <v>1.08</v>
      </c>
      <c r="J65" s="3">
        <v>-2.78</v>
      </c>
      <c r="K65" s="3">
        <v>2.49</v>
      </c>
      <c r="L65" s="3">
        <v>-3.59</v>
      </c>
      <c r="M65" s="3">
        <v>4.94</v>
      </c>
      <c r="N65" s="3">
        <v>-3.02</v>
      </c>
      <c r="O65" s="3">
        <v>-6.65</v>
      </c>
      <c r="P65" s="3">
        <v>11.92</v>
      </c>
      <c r="Q65" s="3">
        <v>11.97</v>
      </c>
      <c r="R65" s="3">
        <v>-5.77</v>
      </c>
      <c r="S65" s="3">
        <v>-7.22</v>
      </c>
      <c r="T65" s="3">
        <v>2.39</v>
      </c>
      <c r="U65" s="3">
        <v>4.21</v>
      </c>
      <c r="V65" s="3">
        <v>-1.26</v>
      </c>
      <c r="W65" s="3">
        <v>-13.33</v>
      </c>
      <c r="X65" s="3">
        <v>-0.07</v>
      </c>
      <c r="Y65" s="3">
        <v>-1.24</v>
      </c>
    </row>
    <row r="66" ht="14.5" spans="1:25">
      <c r="A66" s="2" t="s">
        <v>175</v>
      </c>
      <c r="B66" s="3">
        <v>-21.87</v>
      </c>
      <c r="C66" s="3">
        <v>-8.38</v>
      </c>
      <c r="D66" s="3">
        <v>-2.47</v>
      </c>
      <c r="E66" s="3">
        <v>-8.06</v>
      </c>
      <c r="F66" s="3">
        <v>0.79</v>
      </c>
      <c r="G66" s="3">
        <v>0.04</v>
      </c>
      <c r="H66" s="3">
        <v>-13.78</v>
      </c>
      <c r="I66" s="3">
        <v>0.93</v>
      </c>
      <c r="J66" s="3">
        <v>-2.49</v>
      </c>
      <c r="K66" s="3">
        <v>2</v>
      </c>
      <c r="L66" s="3">
        <v>-3.37</v>
      </c>
      <c r="M66" s="3">
        <v>5.18</v>
      </c>
      <c r="N66" s="3">
        <v>-2.24</v>
      </c>
      <c r="O66" s="3">
        <v>-8.73</v>
      </c>
      <c r="P66" s="3">
        <v>10.69</v>
      </c>
      <c r="Q66" s="3">
        <v>12.37</v>
      </c>
      <c r="R66" s="3">
        <v>-6.63</v>
      </c>
      <c r="S66" s="3">
        <v>-7.77</v>
      </c>
      <c r="T66" s="3">
        <v>3.85</v>
      </c>
      <c r="U66" s="3">
        <v>2.82</v>
      </c>
      <c r="V66" s="3">
        <v>-1.83</v>
      </c>
      <c r="W66" s="3">
        <v>-13.94</v>
      </c>
      <c r="X66" s="3">
        <v>-0.57</v>
      </c>
      <c r="Y66" s="3">
        <v>-2.11</v>
      </c>
    </row>
    <row r="67" ht="14.5" spans="1:25">
      <c r="A67" s="2" t="s">
        <v>177</v>
      </c>
      <c r="B67" s="3">
        <v>-20.21</v>
      </c>
      <c r="C67" s="3">
        <v>-5.74</v>
      </c>
      <c r="D67" s="3">
        <v>-3.12</v>
      </c>
      <c r="E67" s="3">
        <v>-4.46</v>
      </c>
      <c r="F67" s="3">
        <v>0.97</v>
      </c>
      <c r="G67" s="3">
        <v>-1.33</v>
      </c>
      <c r="H67" s="3">
        <v>-8.92</v>
      </c>
      <c r="I67" s="3">
        <v>1.11</v>
      </c>
      <c r="J67" s="3">
        <v>-2.82</v>
      </c>
      <c r="K67" s="3">
        <v>2.43</v>
      </c>
      <c r="L67" s="3">
        <v>-2.04</v>
      </c>
      <c r="M67" s="3">
        <v>6.93</v>
      </c>
      <c r="N67" s="3">
        <v>-2.94</v>
      </c>
      <c r="O67" s="3">
        <v>-8.59</v>
      </c>
      <c r="P67" s="3">
        <v>13.83</v>
      </c>
      <c r="Q67" s="3">
        <v>15.91</v>
      </c>
      <c r="R67" s="3">
        <v>-4.04</v>
      </c>
      <c r="S67" s="3">
        <v>-2.47</v>
      </c>
      <c r="T67" s="3">
        <v>4.01</v>
      </c>
      <c r="U67" s="3">
        <v>4.05</v>
      </c>
      <c r="V67" s="3">
        <v>-0.25</v>
      </c>
      <c r="W67" s="3">
        <v>-11.29</v>
      </c>
      <c r="X67" s="3">
        <v>-0.08</v>
      </c>
      <c r="Y67" s="3">
        <v>-2.52</v>
      </c>
    </row>
    <row r="68" ht="14.5" spans="1:25">
      <c r="A68" s="2" t="s">
        <v>179</v>
      </c>
      <c r="B68" s="3">
        <v>-16.37</v>
      </c>
      <c r="C68" s="3">
        <v>-3.58</v>
      </c>
      <c r="D68" s="3">
        <v>-1.24</v>
      </c>
      <c r="E68" s="3">
        <v>-3.54</v>
      </c>
      <c r="F68" s="3">
        <v>0.76</v>
      </c>
      <c r="G68" s="3">
        <v>0.1</v>
      </c>
      <c r="H68" s="3">
        <v>-7.02</v>
      </c>
      <c r="I68" s="3">
        <v>0.89</v>
      </c>
      <c r="J68" s="3">
        <v>-0.7</v>
      </c>
      <c r="K68" s="3">
        <v>1.88</v>
      </c>
      <c r="L68" s="3">
        <v>-2.38</v>
      </c>
      <c r="M68" s="3">
        <v>7.65</v>
      </c>
      <c r="N68" s="3">
        <v>-1.26</v>
      </c>
      <c r="O68" s="3">
        <v>-7.36</v>
      </c>
      <c r="P68" s="3">
        <v>12.51</v>
      </c>
      <c r="Q68" s="3">
        <v>17.46</v>
      </c>
      <c r="R68" s="3">
        <v>-2.17</v>
      </c>
      <c r="S68" s="3">
        <v>-1.11</v>
      </c>
      <c r="T68" s="3">
        <v>1.23</v>
      </c>
      <c r="U68" s="3">
        <v>3.96</v>
      </c>
      <c r="V68" s="3">
        <v>-0.23</v>
      </c>
      <c r="W68" s="3">
        <v>-9.12</v>
      </c>
      <c r="X68" s="3">
        <v>-0.01</v>
      </c>
      <c r="Y68" s="3">
        <v>-2.8</v>
      </c>
    </row>
    <row r="69" ht="14.5" spans="1:25">
      <c r="A69" s="2" t="s">
        <v>182</v>
      </c>
      <c r="B69" s="3">
        <v>-20.81</v>
      </c>
      <c r="C69" s="3">
        <v>-6.65</v>
      </c>
      <c r="D69" s="3">
        <v>-2.84</v>
      </c>
      <c r="E69" s="3">
        <v>-5.22</v>
      </c>
      <c r="F69" s="3">
        <v>0.99</v>
      </c>
      <c r="G69" s="3">
        <v>-0.63</v>
      </c>
      <c r="H69" s="3">
        <v>-10.2</v>
      </c>
      <c r="I69" s="3">
        <v>1.13</v>
      </c>
      <c r="J69" s="3">
        <v>-2.93</v>
      </c>
      <c r="K69" s="3">
        <v>1.92</v>
      </c>
      <c r="L69" s="3">
        <v>-2.46</v>
      </c>
      <c r="M69" s="3">
        <v>6.41</v>
      </c>
      <c r="N69" s="3">
        <v>-2.65</v>
      </c>
      <c r="O69" s="3">
        <v>-9.65</v>
      </c>
      <c r="P69" s="3">
        <v>10.99</v>
      </c>
      <c r="Q69" s="3">
        <v>14.85</v>
      </c>
      <c r="R69" s="3">
        <v>-4.82</v>
      </c>
      <c r="S69" s="3">
        <v>-4.1</v>
      </c>
      <c r="T69" s="3">
        <v>3.19</v>
      </c>
      <c r="U69" s="3">
        <v>3.11</v>
      </c>
      <c r="V69" s="3">
        <v>-1.5</v>
      </c>
      <c r="W69" s="3">
        <v>-12.18</v>
      </c>
      <c r="X69" s="3">
        <v>-0.46</v>
      </c>
      <c r="Y69" s="3">
        <v>-2.11</v>
      </c>
    </row>
    <row r="70" ht="14.5" spans="1:25">
      <c r="A70" s="2" t="s">
        <v>184</v>
      </c>
      <c r="B70" s="3">
        <v>-6.09</v>
      </c>
      <c r="C70" s="3">
        <v>-2.97</v>
      </c>
      <c r="D70" s="3">
        <v>-0.56</v>
      </c>
      <c r="E70" s="3">
        <v>-3.9</v>
      </c>
      <c r="F70" s="3">
        <v>0</v>
      </c>
      <c r="G70" s="3">
        <v>-0.02</v>
      </c>
      <c r="H70" s="3">
        <v>-1.25</v>
      </c>
      <c r="I70" s="3">
        <v>0.13</v>
      </c>
      <c r="J70" s="3">
        <v>-0.59</v>
      </c>
      <c r="K70" s="3">
        <v>0.06</v>
      </c>
      <c r="L70" s="3">
        <v>-0.33</v>
      </c>
      <c r="M70" s="3">
        <v>9.11</v>
      </c>
      <c r="N70" s="3">
        <v>-0.5</v>
      </c>
      <c r="O70" s="3">
        <v>-8.45</v>
      </c>
      <c r="P70" s="3">
        <v>-10.41</v>
      </c>
      <c r="Q70" s="3">
        <v>20.33</v>
      </c>
      <c r="R70" s="3">
        <v>-2.1</v>
      </c>
      <c r="S70" s="3">
        <v>3</v>
      </c>
      <c r="T70" s="3">
        <v>-6.73</v>
      </c>
      <c r="U70" s="3">
        <v>-7.82</v>
      </c>
      <c r="V70" s="3">
        <v>-1.34</v>
      </c>
      <c r="W70" s="3">
        <v>-0.43</v>
      </c>
      <c r="X70" s="3">
        <v>-1.38</v>
      </c>
      <c r="Y70" s="3">
        <v>-4.5</v>
      </c>
    </row>
    <row r="71" ht="14.5" spans="1:25">
      <c r="A71" s="2" t="s">
        <v>186</v>
      </c>
      <c r="B71" s="3">
        <v>-22.42</v>
      </c>
      <c r="C71" s="3">
        <v>-9.25</v>
      </c>
      <c r="D71" s="3">
        <v>-3.44</v>
      </c>
      <c r="E71" s="3">
        <v>-8.2</v>
      </c>
      <c r="F71" s="3">
        <v>0.83</v>
      </c>
      <c r="G71" s="3">
        <v>-0.91</v>
      </c>
      <c r="H71" s="3">
        <v>-13.69</v>
      </c>
      <c r="I71" s="3">
        <v>0.97</v>
      </c>
      <c r="J71" s="3">
        <v>-3.96</v>
      </c>
      <c r="K71" s="3">
        <v>1.85</v>
      </c>
      <c r="L71" s="3">
        <v>-3.4</v>
      </c>
      <c r="M71" s="3">
        <v>5.24</v>
      </c>
      <c r="N71" s="3">
        <v>-3.21</v>
      </c>
      <c r="O71" s="3">
        <v>-10.27</v>
      </c>
      <c r="P71" s="3">
        <v>6.71</v>
      </c>
      <c r="Q71" s="3">
        <v>12.48</v>
      </c>
      <c r="R71" s="3">
        <v>-7.1</v>
      </c>
      <c r="S71" s="3">
        <v>-8.29</v>
      </c>
      <c r="T71" s="3">
        <v>2.37</v>
      </c>
      <c r="U71" s="3">
        <v>1.39</v>
      </c>
      <c r="V71" s="3">
        <v>-2.82</v>
      </c>
      <c r="W71" s="3">
        <v>-13.46</v>
      </c>
      <c r="X71" s="3">
        <v>-1.03</v>
      </c>
      <c r="Y71" s="3">
        <v>-2.04</v>
      </c>
    </row>
    <row r="72" ht="14.5" spans="1:25">
      <c r="A72" s="2" t="s">
        <v>188</v>
      </c>
      <c r="B72" s="3">
        <v>-21.9</v>
      </c>
      <c r="C72" s="3">
        <v>-7.38</v>
      </c>
      <c r="D72" s="3">
        <v>-2.33</v>
      </c>
      <c r="E72" s="3">
        <v>-7.2</v>
      </c>
      <c r="F72" s="3">
        <v>0.88</v>
      </c>
      <c r="G72" s="3">
        <v>0.05</v>
      </c>
      <c r="H72" s="3">
        <v>-12.73</v>
      </c>
      <c r="I72" s="3">
        <v>1.02</v>
      </c>
      <c r="J72" s="3">
        <v>-2.34</v>
      </c>
      <c r="K72" s="3">
        <v>2.24</v>
      </c>
      <c r="L72" s="3">
        <v>-3.69</v>
      </c>
      <c r="M72" s="3">
        <v>4.93</v>
      </c>
      <c r="N72" s="3">
        <v>-2.18</v>
      </c>
      <c r="O72" s="3">
        <v>-9.02</v>
      </c>
      <c r="P72" s="3">
        <v>9.19</v>
      </c>
      <c r="Q72" s="3">
        <v>11.92</v>
      </c>
      <c r="R72" s="3">
        <v>-5.38</v>
      </c>
      <c r="S72" s="3">
        <v>-7.08</v>
      </c>
      <c r="T72" s="3">
        <v>2.01</v>
      </c>
      <c r="U72" s="3">
        <v>2.88</v>
      </c>
      <c r="V72" s="3">
        <v>-2.42</v>
      </c>
      <c r="W72" s="3">
        <v>-13.77</v>
      </c>
      <c r="X72" s="3">
        <v>-0.48</v>
      </c>
      <c r="Y72" s="3">
        <v>-1.95</v>
      </c>
    </row>
    <row r="73" ht="14.5" spans="1:25">
      <c r="A73" s="2" t="s">
        <v>191</v>
      </c>
      <c r="B73" s="3">
        <v>-21.39</v>
      </c>
      <c r="C73" s="3">
        <v>-7.64</v>
      </c>
      <c r="D73" s="3">
        <v>-2.67</v>
      </c>
      <c r="E73" s="3">
        <v>-7.11</v>
      </c>
      <c r="F73" s="3">
        <v>0.94</v>
      </c>
      <c r="G73" s="3">
        <v>-0.42</v>
      </c>
      <c r="H73" s="3">
        <v>-12.24</v>
      </c>
      <c r="I73" s="3">
        <v>1.08</v>
      </c>
      <c r="J73" s="3">
        <v>-2.67</v>
      </c>
      <c r="K73" s="3">
        <v>2.29</v>
      </c>
      <c r="L73" s="3">
        <v>-3.21</v>
      </c>
      <c r="M73" s="3">
        <v>5.31</v>
      </c>
      <c r="N73" s="3">
        <v>-2.47</v>
      </c>
      <c r="O73" s="3">
        <v>-8.81</v>
      </c>
      <c r="P73" s="3">
        <v>9.49</v>
      </c>
      <c r="Q73" s="3">
        <v>12.66</v>
      </c>
      <c r="R73" s="3">
        <v>-5.82</v>
      </c>
      <c r="S73" s="3">
        <v>-6.59</v>
      </c>
      <c r="T73" s="3">
        <v>2.66</v>
      </c>
      <c r="U73" s="3">
        <v>2.49</v>
      </c>
      <c r="V73" s="3">
        <v>-1.75</v>
      </c>
      <c r="W73" s="3">
        <v>-12.99</v>
      </c>
      <c r="X73" s="3">
        <v>-0.42</v>
      </c>
      <c r="Y73" s="3">
        <v>-2.13</v>
      </c>
    </row>
    <row r="74" ht="14.5" spans="1:25">
      <c r="A74" s="2" t="s">
        <v>193</v>
      </c>
      <c r="B74" s="3">
        <v>-8.46</v>
      </c>
      <c r="C74" s="3">
        <v>-5.07</v>
      </c>
      <c r="D74" s="3">
        <v>-3.1</v>
      </c>
      <c r="E74" s="3">
        <v>-4.95</v>
      </c>
      <c r="F74" s="3">
        <v>-0.71</v>
      </c>
      <c r="G74" s="3">
        <v>-0.92</v>
      </c>
      <c r="H74" s="3">
        <v>-0.26</v>
      </c>
      <c r="I74" s="3">
        <v>-0.57</v>
      </c>
      <c r="J74" s="3">
        <v>-3.65</v>
      </c>
      <c r="K74" s="3">
        <v>-1.12</v>
      </c>
      <c r="L74" s="3">
        <v>0.93</v>
      </c>
      <c r="M74" s="3">
        <v>7.03</v>
      </c>
      <c r="N74" s="3">
        <v>-2.87</v>
      </c>
      <c r="O74" s="3">
        <v>-9.61</v>
      </c>
      <c r="P74" s="3">
        <v>-19.97</v>
      </c>
      <c r="Q74" s="3">
        <v>16.06</v>
      </c>
      <c r="R74" s="3">
        <v>-2.79</v>
      </c>
      <c r="S74" s="3">
        <v>4.66</v>
      </c>
      <c r="T74" s="3">
        <v>-7.66</v>
      </c>
      <c r="U74" s="3">
        <v>-12.91</v>
      </c>
      <c r="V74" s="3">
        <v>-2.72</v>
      </c>
      <c r="W74" s="3">
        <v>-1.42</v>
      </c>
      <c r="X74" s="3">
        <v>-2.58</v>
      </c>
      <c r="Y74" s="3">
        <v>-3.95</v>
      </c>
    </row>
    <row r="75" ht="14.5" spans="1:25">
      <c r="A75" s="2" t="s">
        <v>195</v>
      </c>
      <c r="B75" s="3">
        <v>-20.82</v>
      </c>
      <c r="C75" s="3">
        <v>-6.38</v>
      </c>
      <c r="D75" s="3">
        <v>-1.36</v>
      </c>
      <c r="E75" s="3">
        <v>-6.52</v>
      </c>
      <c r="F75" s="3">
        <v>1.32</v>
      </c>
      <c r="G75" s="3">
        <v>0.11</v>
      </c>
      <c r="H75" s="3">
        <v>-12.88</v>
      </c>
      <c r="I75" s="3">
        <v>1.45</v>
      </c>
      <c r="J75" s="3">
        <v>-1.09</v>
      </c>
      <c r="K75" s="3">
        <v>2.67</v>
      </c>
      <c r="L75" s="3">
        <v>-3.73</v>
      </c>
      <c r="M75" s="3">
        <v>5.75</v>
      </c>
      <c r="N75" s="3">
        <v>-1.28</v>
      </c>
      <c r="O75" s="3">
        <v>-7.72</v>
      </c>
      <c r="P75" s="3">
        <v>16.97</v>
      </c>
      <c r="Q75" s="3">
        <v>13.61</v>
      </c>
      <c r="R75" s="3">
        <v>-5.23</v>
      </c>
      <c r="S75" s="3">
        <v>-6.94</v>
      </c>
      <c r="T75" s="3">
        <v>3.85</v>
      </c>
      <c r="U75" s="3">
        <v>6.09</v>
      </c>
      <c r="V75" s="3">
        <v>-0.19</v>
      </c>
      <c r="W75" s="3">
        <v>-13.06</v>
      </c>
      <c r="X75" s="3">
        <v>0.24</v>
      </c>
      <c r="Y75" s="3">
        <v>-2.28</v>
      </c>
    </row>
    <row r="76" ht="14.5" spans="1:25">
      <c r="A76" s="2" t="s">
        <v>198</v>
      </c>
      <c r="B76" s="3">
        <v>-22.8</v>
      </c>
      <c r="C76" s="3">
        <v>-9.4</v>
      </c>
      <c r="D76" s="3">
        <v>-3.31</v>
      </c>
      <c r="E76" s="3">
        <v>-7.89</v>
      </c>
      <c r="F76" s="3">
        <v>0.89</v>
      </c>
      <c r="G76" s="3">
        <v>-1.68</v>
      </c>
      <c r="H76" s="3">
        <v>-13.92</v>
      </c>
      <c r="I76" s="3">
        <v>1.02</v>
      </c>
      <c r="J76" s="3">
        <v>-3.9</v>
      </c>
      <c r="K76" s="3">
        <v>2.44</v>
      </c>
      <c r="L76" s="3">
        <v>-3.52</v>
      </c>
      <c r="M76" s="3">
        <v>4.95</v>
      </c>
      <c r="N76" s="3">
        <v>-3.14</v>
      </c>
      <c r="O76" s="3">
        <v>-10.95</v>
      </c>
      <c r="P76" s="3">
        <v>9.57</v>
      </c>
      <c r="Q76" s="3">
        <v>11.96</v>
      </c>
      <c r="R76" s="3">
        <v>-7.25</v>
      </c>
      <c r="S76" s="3">
        <v>-8.63</v>
      </c>
      <c r="T76" s="3">
        <v>2.36</v>
      </c>
      <c r="U76" s="3">
        <v>2.94</v>
      </c>
      <c r="V76" s="3">
        <v>-2.2</v>
      </c>
      <c r="W76" s="3">
        <v>-13.73</v>
      </c>
      <c r="X76" s="3">
        <v>-1.07</v>
      </c>
      <c r="Y76" s="3">
        <v>-2.74</v>
      </c>
    </row>
    <row r="77" ht="14.5" spans="1:25">
      <c r="A77" s="2" t="s">
        <v>200</v>
      </c>
      <c r="B77" s="3">
        <v>-18.94</v>
      </c>
      <c r="C77" s="3">
        <v>-5.95</v>
      </c>
      <c r="D77" s="3">
        <v>-1.18</v>
      </c>
      <c r="E77" s="3">
        <v>-5.95</v>
      </c>
      <c r="F77" s="3">
        <v>1.26</v>
      </c>
      <c r="G77" s="3">
        <v>-0.03</v>
      </c>
      <c r="H77" s="3">
        <v>-10.92</v>
      </c>
      <c r="I77" s="3">
        <v>1.39</v>
      </c>
      <c r="J77" s="3">
        <v>-1.13</v>
      </c>
      <c r="K77" s="3">
        <v>2.78</v>
      </c>
      <c r="L77" s="3">
        <v>-3.44</v>
      </c>
      <c r="M77" s="3">
        <v>5.99</v>
      </c>
      <c r="N77" s="3">
        <v>-1.14</v>
      </c>
      <c r="O77" s="3">
        <v>-8.09</v>
      </c>
      <c r="P77" s="3">
        <v>12.62</v>
      </c>
      <c r="Q77" s="3">
        <v>14.11</v>
      </c>
      <c r="R77" s="3">
        <v>-4.48</v>
      </c>
      <c r="S77" s="3">
        <v>-5.59</v>
      </c>
      <c r="T77" s="3">
        <v>1.84</v>
      </c>
      <c r="U77" s="3">
        <v>4.11</v>
      </c>
      <c r="V77" s="3">
        <v>-0.5</v>
      </c>
      <c r="W77" s="3">
        <v>-11.36</v>
      </c>
      <c r="X77" s="3">
        <v>-0.03</v>
      </c>
      <c r="Y77" s="3">
        <v>-2.59</v>
      </c>
    </row>
    <row r="78" ht="14.5" spans="1:7">
      <c r="A78" s="4" t="s">
        <v>235</v>
      </c>
      <c r="B78" s="4"/>
      <c r="C78" s="4"/>
      <c r="D78" s="4"/>
      <c r="E78" s="4"/>
      <c r="F78" s="4"/>
      <c r="G78" s="4"/>
    </row>
  </sheetData>
  <mergeCells count="25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TableS1</vt:lpstr>
      <vt:lpstr>TableS2</vt:lpstr>
      <vt:lpstr>TableS3</vt:lpstr>
      <vt:lpstr>TableS4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débutants</cp:lastModifiedBy>
  <dcterms:created xsi:type="dcterms:W3CDTF">2023-12-27T06:37:00Z</dcterms:created>
  <dcterms:modified xsi:type="dcterms:W3CDTF">2024-02-22T04:32:11Z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BF94421BEAA44429A410D9103B3A5613_13</vt:lpwstr>
  </property>
  <property fmtid="{D5CDD505-2E9C-101B-9397-08002B2CF9AE}" pid="3" name="KSOProductBuildVer">
    <vt:lpwstr>2052-12.1.0.16250</vt:lpwstr>
  </property>
</Properties>
</file>